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629"/>
  <workbookPr/>
  <mc:AlternateContent xmlns:mc="http://schemas.openxmlformats.org/markup-compatibility/2006">
    <mc:Choice Requires="x15">
      <x15ac:absPath xmlns:x15ac="http://schemas.microsoft.com/office/spreadsheetml/2010/11/ac" url="C:\Users\wmmul\Documents\BA_BOD\Reference Models\June 2019 Release Masters\"/>
    </mc:Choice>
  </mc:AlternateContent>
  <xr:revisionPtr revIDLastSave="0" documentId="13_ncr:1_{6D62D483-4DB2-4E89-B654-2B5C749EFE44}" xr6:coauthVersionLast="43" xr6:coauthVersionMax="43" xr10:uidLastSave="{00000000-0000-0000-0000-000000000000}"/>
  <bookViews>
    <workbookView xWindow="-110" yWindow="-110" windowWidth="19420" windowHeight="10420" tabRatio="871" xr2:uid="{00000000-000D-0000-FFFF-FFFF00000000}"/>
  </bookViews>
  <sheets>
    <sheet name="Financial Services Cover Sheet" sheetId="48" r:id="rId1"/>
    <sheet name="Inventory" sheetId="25" r:id="rId2"/>
    <sheet name="Capability Map" sheetId="74" r:id="rId3"/>
    <sheet name="Value Streams Inventory" sheetId="51" r:id="rId4"/>
    <sheet name="Information Map" sheetId="90" r:id="rId5"/>
    <sheet name="Organization Map" sheetId="45" r:id="rId6"/>
    <sheet name="Stakeholder Map" sheetId="13" r:id="rId7"/>
    <sheet name="Establish Financial Agreement" sheetId="66" r:id="rId8"/>
    <sheet name="Develop and Launch Product" sheetId="67" r:id="rId9"/>
    <sheet name="Execute Transaction" sheetId="68" r:id="rId10"/>
    <sheet name="Trade Financial Instrument" sheetId="69" r:id="rId11"/>
    <sheet name="Acquire Servicing Portfolio" sheetId="92" r:id="rId12"/>
    <sheet name="Resolve Issue or Inquiry" sheetId="70" r:id="rId13"/>
    <sheet name="Create Policy" sheetId="88" r:id="rId14"/>
    <sheet name="Acquire Asset" sheetId="75" r:id="rId15"/>
    <sheet name="Conduct Audit" sheetId="76" r:id="rId16"/>
    <sheet name="Deliver Event" sheetId="77" r:id="rId17"/>
    <sheet name="Deliver Program" sheetId="78" r:id="rId18"/>
    <sheet name="Deploy Asset" sheetId="79" r:id="rId19"/>
    <sheet name="Develop Human Resource Career" sheetId="80" r:id="rId20"/>
    <sheet name="Disseminate Information" sheetId="81" r:id="rId21"/>
    <sheet name="Ensure Compliance" sheetId="82" r:id="rId22"/>
    <sheet name="Execute Campaign" sheetId="83" r:id="rId23"/>
    <sheet name="Onboard Human Resource" sheetId="84" r:id="rId24"/>
    <sheet name="Optimize Investments" sheetId="85" r:id="rId25"/>
    <sheet name="Report Financials" sheetId="86" r:id="rId26"/>
    <sheet name="Settle Accounts" sheetId="87" r:id="rId27"/>
    <sheet name="Onboard Partner" sheetId="91" r:id="rId28"/>
  </sheets>
  <externalReferences>
    <externalReference r:id="rId29"/>
    <externalReference r:id="rId30"/>
    <externalReference r:id="rId31"/>
    <externalReference r:id="rId32"/>
    <externalReference r:id="rId33"/>
  </externalReferences>
  <definedNames>
    <definedName name="_xlnm._FilterDatabase" localSheetId="2" hidden="1">'Capability Map'!$A$2:$D$1099</definedName>
    <definedName name="_xlnm._FilterDatabase" localSheetId="5" hidden="1">'Organization Map'!$A$2:$B$2</definedName>
    <definedName name="_xlnm._FilterDatabase" localSheetId="6" hidden="1">'Stakeholder Map'!$A$2:$C$2</definedName>
    <definedName name="AE_Ben_All">'[1]B-IV - All Else'!$Z$42:$AS$42</definedName>
    <definedName name="AE_CountCost">'[1]DB - Departments'!$F$11:$H$20</definedName>
    <definedName name="AE_DeptList">'[1]DB - Departments'!$B$47:$B$56</definedName>
    <definedName name="AE_DeptList_Code">'[1]DB - Departments'!$B$47:$C$56</definedName>
    <definedName name="AppGrowth">'[1]DB - Cert Growth'!$M$47:$AF$47</definedName>
    <definedName name="Assm_HWSWCost">[1]Assumptions!$B$20</definedName>
    <definedName name="Assm_ImpCont">[1]Assumptions!$B$22</definedName>
    <definedName name="Assm_PayInc">[1]Assumptions!$B$18</definedName>
    <definedName name="Assm_RetBon">'[1]C-V - Other Emp Costs'!$F$47</definedName>
    <definedName name="Assm_SevRate">'[1]C-V - Other Emp Costs'!$G$25</definedName>
    <definedName name="BA_Hourly">[2]Dashboard!$C$20</definedName>
    <definedName name="Ben_Input">'[1]Benefit Input'!$A$10:$Y$76</definedName>
    <definedName name="Ben_Prob">'[1]Benefit Probabilities'!$A$10:$CL$76</definedName>
    <definedName name="BT_Ben_Intfc">'[1]B-II - Bus Tech'!$AO$69:$CB$69</definedName>
    <definedName name="BT_Ben_ModSys">'[1]B-II - Bus Tech'!$AO$73:$CB$73</definedName>
    <definedName name="BT_Ben_PASSuppt">'[1]B-II - Bus Tech'!$AO$67:$CB$67</definedName>
    <definedName name="BT_Ben_SpnCntl">'[1]B-II - Bus Tech'!$AO$75:$CB$75</definedName>
    <definedName name="BT_Ben_TechRat">'[1]B-II - Bus Tech'!$AO$71:$CB$71</definedName>
    <definedName name="BT_DeptList">'[1]DB - Departments'!$B$11:$B$21</definedName>
    <definedName name="BT_DeptList_Code">'[1]DB - Departments'!$B$11:$C$21</definedName>
    <definedName name="BUS_COST_HOUR">[3]Assumptions!$E$9</definedName>
    <definedName name="CertGrowth">'[1]DB - Cert Growth'!$L$10:$BT$21</definedName>
    <definedName name="CertGrowth_Prod">'[1]DB - Cert Growth'!$L$10:$L$21</definedName>
    <definedName name="CertGrowth_YrSys">'[1]DB - Cert Growth'!$L$10:$BT$10</definedName>
    <definedName name="ClaimsGrowth">'[1]DB - Cert Growth'!$M$77:$AF$77</definedName>
    <definedName name="CO_Ben_Auto">'[1]B-III - Core Ops'!$AR$131:$BK$131</definedName>
    <definedName name="CO_Ben_Claims">'[1]B-III - Core Ops'!$AR$135:$BK$135</definedName>
    <definedName name="CO_Ben_CSInt">'[1]B-III - Core Ops'!$AR$133:$BK$133</definedName>
    <definedName name="CO_Ben_OneSys">'[1]B-III - Core Ops'!$AR$129:$BK$129</definedName>
    <definedName name="CO_Ben_OutAuto">'[1]B-III - Core Ops'!$AR$137:$BK$137</definedName>
    <definedName name="CO_Ben_PmtMeth">'[1]B-III - Core Ops'!$AR$139:$BK$139</definedName>
    <definedName name="CO_Ben_SelfSvc">'[1]B-III - Core Ops'!$AR$141:$BK$141</definedName>
    <definedName name="CO_Ben_SpnCntrl">'[1]B-III - Core Ops'!$AR$143:$BK$143</definedName>
    <definedName name="CO_DeptList">'[1]DB - Departments'!$B$23:$B$45</definedName>
    <definedName name="CO_DeptList_Code">'[1]DB - Departments'!$B$23:$C$45</definedName>
    <definedName name="CONTINGENCY">[3]Assumptions!$E$84</definedName>
    <definedName name="Cost_Input">'[1]Cost Input'!$A$11:$Y$66</definedName>
    <definedName name="Cost_Prob">'[1]Cost Probabilities'!$A$10:$CL$60</definedName>
    <definedName name="CSC_Gap_Imp">'[1]V - CSC'!$E$96:$X$96</definedName>
    <definedName name="CSC_Gap_Recur">'[1]V - CSC'!$E$89:$X$89</definedName>
    <definedName name="CSC_OneTime">'[1]V - CSC'!$E$52:$X$52</definedName>
    <definedName name="CSC_Recurring">'[1]V - CSC'!$E$13:$X$13</definedName>
    <definedName name="Dash_Best">OFFSET('[1]Dashboard Input'!$C$9,0,0,,COUNT('[1]Dashboard Input'!$C$9:$V$9))</definedName>
    <definedName name="Dash_Probable">OFFSET('[1]Dashboard Input'!$C$8,0,0,,COUNT('[1]Dashboard Input'!$C$8:$V$8))</definedName>
    <definedName name="Dash_Submitted">OFFSET('[1]Dashboard Input'!$C$6,0,0,,COUNT('[1]Dashboard Input'!$C$6:$V$6))</definedName>
    <definedName name="Dash_Worst">OFFSET('[1]Dashboard Input'!$C$7,0,0,,COUNT('[1]Dashboard Input'!$C$7:$V$7))</definedName>
    <definedName name="DISCOUNT">[3]Assumptions!$E$7</definedName>
    <definedName name="Discount_Rate">[4]Dashboard!$C$10</definedName>
    <definedName name="DiscRate">'[5]Benefit Summary'!$D$5</definedName>
    <definedName name="FIN_Consult">[2]Dashboard!$C$28</definedName>
    <definedName name="FIN_PMO">[2]Dashboard!$C$29</definedName>
    <definedName name="FIN_Training">[2]Dashboard!$C$27</definedName>
    <definedName name="FTE_AE_Total">'[1]B-IV - All Else'!$M$42</definedName>
    <definedName name="FTE_BT_Efcy">'[1]B-II - Bus Tech'!$AF$67</definedName>
    <definedName name="FTE_BT_Suppt">'[1]B-II - Bus Tech'!$I$67</definedName>
    <definedName name="FTE_CO_Efcy">'[1]B-III - Core Ops'!$AF$127</definedName>
    <definedName name="FTE_CO_SpanCntl">'[1]B-III - Core Ops'!$AH$127</definedName>
    <definedName name="Group_GR">[2]Dashboard!$C$13</definedName>
    <definedName name="Hours_Day">[2]Dashboard!$C$30</definedName>
    <definedName name="Hours_Yr">[2]Dashboard!$C$25</definedName>
    <definedName name="InactGrowth">'[1]DB - Cert Growth'!$L$31:$BT$32</definedName>
    <definedName name="InactGrowth_YrSys">'[1]DB - Cert Growth'!$L$31:$BT$31</definedName>
    <definedName name="Ind_GR">[2]Dashboard!$C$12</definedName>
    <definedName name="Infl_Rate">[2]Dashboard!$C$14</definedName>
    <definedName name="InfoMcC_OneTime">'[1]VENDOR - Infosys-McC'!$G$100:$Z$100</definedName>
    <definedName name="InfoMcC_Recurring">'[1]VENDOR - Infosys-McC'!$G$51:$Z$51</definedName>
    <definedName name="IssueGrowth">'[1]DB - Cert Growth'!$M$62:$AF$62</definedName>
    <definedName name="IT_COST_HOUR">[3]Assumptions!$E$8</definedName>
    <definedName name="IT_Hourly">[2]Dashboard!$C$19</definedName>
    <definedName name="NP_Hourly">[2]Dashboard!$C$125</definedName>
    <definedName name="Personel_Hourly">[2]Dashboard!$C$124</definedName>
    <definedName name="PMO_Hourly">[2]Dashboard!$C$21</definedName>
    <definedName name="_xlnm.Print_Area" localSheetId="14">'Acquire Asset'!$A$1:$H$7</definedName>
    <definedName name="_xlnm.Print_Area" localSheetId="11">'Acquire Servicing Portfolio'!$A$1:$H$7</definedName>
    <definedName name="_xlnm.Print_Area" localSheetId="13">'Create Policy'!$A$1:$H$7</definedName>
    <definedName name="_xlnm.Print_Area" localSheetId="8">'Develop and Launch Product'!$A$1:$H$7</definedName>
    <definedName name="_xlnm.Print_Area" localSheetId="7">'Establish Financial Agreement'!$A$1:$H$8</definedName>
    <definedName name="_xlnm.Print_Area" localSheetId="9">'Execute Transaction'!$A$1:$H$8</definedName>
    <definedName name="_xlnm.Print_Area" localSheetId="27">'Onboard Partner'!$A$1:$H$7</definedName>
    <definedName name="_xlnm.Print_Area" localSheetId="12">'Resolve Issue or Inquiry'!$A$1:$H$7</definedName>
    <definedName name="_xlnm.Print_Area" localSheetId="26">'Settle Accounts'!$A$1:$H$6</definedName>
    <definedName name="_xlnm.Print_Area" localSheetId="6">'Stakeholder Map'!$A$1:$D$44</definedName>
    <definedName name="_xlnm.Print_Area" localSheetId="10">'Trade Financial Instrument'!$A$1:$H$8</definedName>
    <definedName name="_xlnm.Print_Area" localSheetId="3">'Value Streams Inventory'!$A$1:$B$22</definedName>
    <definedName name="Rate_AE_All">'[1]DB - Rates, Emp Costs'!$B$39:$D$45</definedName>
    <definedName name="Rate_AE_Role">'[1]DB - Rates, Emp Costs'!$B$39:$B$45</definedName>
    <definedName name="Rate_BT_All">'[1]DB - Rates, Emp Costs'!$B$16:$D$32</definedName>
    <definedName name="Rate_BT_Role">'[1]DB - Rates, Emp Costs'!$B$16:$B$32</definedName>
    <definedName name="Rate_CO_All">'[1]DB - Rates, Emp Costs'!$B$34:$D$37</definedName>
    <definedName name="Rate_CO_Role">'[1]DB - Rates, Emp Costs'!$B$34:$B$37</definedName>
    <definedName name="se2_Gap_Imp">'[1]V - se2'!$E$101:$X$101</definedName>
    <definedName name="se2_Gap_Recur">'[1]V - se2'!$E$95:$X$95</definedName>
    <definedName name="se2_OneTime">'[1]V - se2'!$E$58:$X$58</definedName>
    <definedName name="se2_Recurring">'[1]V - se2'!$E$18:$X$18</definedName>
    <definedName name="Tot_Summary">[1]Summary!$A$12:$CP$140</definedName>
    <definedName name="VendorSelection">[1]Dashboard!$D$31</definedName>
    <definedName name="WACC">[2]WACC!$E$42</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20" i="51" l="1"/>
  <c r="A21" i="51" l="1"/>
  <c r="B6" i="51"/>
  <c r="A6" i="51"/>
  <c r="A22" i="51"/>
  <c r="B22" i="51"/>
  <c r="B21" i="51"/>
  <c r="B20" i="51"/>
  <c r="B18" i="51"/>
  <c r="B15" i="51"/>
  <c r="B13" i="51"/>
  <c r="A18" i="51"/>
  <c r="A15" i="51"/>
  <c r="A13" i="51"/>
  <c r="B12" i="51"/>
  <c r="B10" i="51"/>
  <c r="A12" i="51"/>
  <c r="B9" i="51"/>
  <c r="A9" i="51"/>
  <c r="A10" i="51"/>
  <c r="A8" i="51"/>
  <c r="B8" i="51"/>
  <c r="B7" i="51"/>
  <c r="A7" i="51"/>
  <c r="B5" i="51"/>
  <c r="A5" i="51"/>
  <c r="B3" i="51"/>
  <c r="A3" i="51"/>
  <c r="A16" i="51"/>
  <c r="A11" i="51"/>
  <c r="A14" i="51"/>
  <c r="B17" i="51"/>
  <c r="A17" i="51"/>
  <c r="B23" i="51"/>
  <c r="A23" i="51"/>
  <c r="B16" i="51"/>
  <c r="B11" i="51"/>
  <c r="B14" i="51"/>
</calcChain>
</file>

<file path=xl/sharedStrings.xml><?xml version="1.0" encoding="utf-8"?>
<sst xmlns="http://schemas.openxmlformats.org/spreadsheetml/2006/main" count="3789" uniqueCount="3294">
  <si>
    <t>Capability</t>
  </si>
  <si>
    <t>Definition</t>
  </si>
  <si>
    <t>Tier</t>
  </si>
  <si>
    <t>Level</t>
  </si>
  <si>
    <t>Description</t>
  </si>
  <si>
    <t>Value Stream</t>
  </si>
  <si>
    <t>Exit Criteria</t>
  </si>
  <si>
    <t>Value Item</t>
  </si>
  <si>
    <t>Entrance Criteria</t>
  </si>
  <si>
    <t>Value Proposition</t>
  </si>
  <si>
    <t>Value Stream Stage</t>
  </si>
  <si>
    <t>Stakeholder(s)</t>
  </si>
  <si>
    <t>Capability Map</t>
  </si>
  <si>
    <t>Stakeholder Type</t>
  </si>
  <si>
    <t>Stakeholder Category</t>
  </si>
  <si>
    <t>Stakeholder</t>
  </si>
  <si>
    <t xml:space="preserve">Description </t>
  </si>
  <si>
    <t>Value Stream Name</t>
  </si>
  <si>
    <t>Value Stream Inventory</t>
  </si>
  <si>
    <t>Stakeholder Mapping Template</t>
  </si>
  <si>
    <t>Internal or External</t>
  </si>
  <si>
    <t>USAGE &amp; DISCLAIMERS</t>
  </si>
  <si>
    <t>When using this template, refer to the stakeholder mapping guidelines in the BIZBOK® Guide. The sources of each cell are noted in the note at the bottom of the cell.</t>
  </si>
  <si>
    <t>Brand Management</t>
  </si>
  <si>
    <t>Brand Definition</t>
  </si>
  <si>
    <t>Brand Identity Management</t>
  </si>
  <si>
    <t>Ability to uniquely represent the organization in terms of the brand vision, culture, positioning, personality, relationships, and presentations of the organization.</t>
  </si>
  <si>
    <t>Brand Establishment</t>
  </si>
  <si>
    <t>Ability to create, form, and inculcate a brand of an organization with its target market, competitors, and the general public.</t>
  </si>
  <si>
    <t>Brand Performance Management</t>
  </si>
  <si>
    <t>Ability to determine how well a brand is meeting objectives or delivering against plan.</t>
  </si>
  <si>
    <t>Brand Performance Threshold Setting</t>
  </si>
  <si>
    <t>Ability to determine acceptable or unacceptable levels of performance.  </t>
  </si>
  <si>
    <t>Brand Performance Threshold Measurement</t>
  </si>
  <si>
    <t>Brand Performance Constraints Determination</t>
  </si>
  <si>
    <t>Ability to assess what is causing a brand to underperform.</t>
  </si>
  <si>
    <t>Brand Loyalty Determination</t>
  </si>
  <si>
    <t>Ability to assess and quantify the commitment and staying power that the brand has within the markets in which it has a presence.</t>
  </si>
  <si>
    <t>Brand Awareness Determination</t>
  </si>
  <si>
    <t>Ability to assess and quantify the degree of familiarity and recognition a brand has within and across various markets.</t>
  </si>
  <si>
    <t>Brand Targeting</t>
  </si>
  <si>
    <t>Ability to identify and specify the stakeholders, markets, locations, and industry sectors marked for building brand awareness.</t>
  </si>
  <si>
    <t>Brand Matching</t>
  </si>
  <si>
    <t>Ability to associate a brand with a specific facility that promotes the brand.</t>
  </si>
  <si>
    <t>Ability to associate a brand with a supply chain partner in order to effectively maintain brand effectiveness by obtaining higher levels of channel support to maintain brand positioning.</t>
  </si>
  <si>
    <t>Ability to associate a brand with a registered trademark owned by the organization.</t>
  </si>
  <si>
    <t>Brand Information Management</t>
  </si>
  <si>
    <t>Ability to collect, organize, monitor, report on, or otherwise disseminate basic facts, statistics, attributes, and data about the brand.</t>
  </si>
  <si>
    <t>Brand Profile Management</t>
  </si>
  <si>
    <t>Brand Type Management</t>
  </si>
  <si>
    <t>Ability to determine, modify, and interpret the category or classification of a brand.</t>
  </si>
  <si>
    <t>Brand State Management</t>
  </si>
  <si>
    <t>Ability to determine, modify, and interpret the status or condition of a brand.</t>
  </si>
  <si>
    <t>Brand History Management</t>
  </si>
  <si>
    <t>Brand Analytics Management</t>
  </si>
  <si>
    <t>Ability to identify, establish, validate, and articulate metrics and measures on historic and predictive determinations for one or more brands.</t>
  </si>
  <si>
    <t>Business Entity Management</t>
  </si>
  <si>
    <t>Business Entity Definition</t>
  </si>
  <si>
    <t>Ability to establish, declare, and identify a business entity.</t>
  </si>
  <si>
    <t>Business Entity Structuring</t>
  </si>
  <si>
    <t>Ability to define discrete business entity substructures, such as business units, divisions, departments, and the like, and the relationships among those substructures and other business entities.</t>
  </si>
  <si>
    <t>Business Entity Capital Structure Management</t>
  </si>
  <si>
    <t>Ability to define the legal ownership structure of the enterprise, such as a corporation, a limited partnership, a general partnership, a trust, or a limited liability company.</t>
  </si>
  <si>
    <t>Business Entity Performance Management</t>
  </si>
  <si>
    <t>Ability to determine how well a business entity is meeting specification and objective levels, or delivering against plan.</t>
  </si>
  <si>
    <t>Business Entity Performance Threshold Setting</t>
  </si>
  <si>
    <t>Business Entity Performance Threshold Measurement</t>
  </si>
  <si>
    <t>Business Entity Performance Constraints Determination</t>
  </si>
  <si>
    <t>Ability to assess what is causing the business entity to underperform.</t>
  </si>
  <si>
    <t>Business Entity Risk Management</t>
  </si>
  <si>
    <t>Ability to identify, assess, aggregate, articulate, and incorporate various exposures to harm, danger, or loss associated with a given business entity.</t>
  </si>
  <si>
    <t>Business Entity Risk Level Determination</t>
  </si>
  <si>
    <t>Ability to identify and define the level of risk associated with a business entity.</t>
  </si>
  <si>
    <t>Business Entity Risk Threshold Determination</t>
  </si>
  <si>
    <t>Ability to identify and define the level of acceptable risk associated with a business entity.</t>
  </si>
  <si>
    <t>Business Entity Risk Aggregation</t>
  </si>
  <si>
    <t>Business Entity Matching</t>
  </si>
  <si>
    <t>Ability to associate a business entity with other business objects.</t>
  </si>
  <si>
    <t>Ability to associate a business entity structure with investments.</t>
  </si>
  <si>
    <t>Ability to associate the business entity with decisions about its purpose, structure, organization, and capital structure.</t>
  </si>
  <si>
    <t>Ability to associate an organizational structure with jobs.</t>
  </si>
  <si>
    <t>Ability to associate a business entity with another business entity.</t>
  </si>
  <si>
    <t>Business Entity Information Management</t>
  </si>
  <si>
    <t>Business Entity Profile Management</t>
  </si>
  <si>
    <t>Ability to identify, track, validate, report on, or otherwise administer descriptive information related to a business entity.</t>
  </si>
  <si>
    <t>Business Entity Type Management</t>
  </si>
  <si>
    <t>Ability to determine and modify the category of business entity.</t>
  </si>
  <si>
    <t>Business Entity State Management</t>
  </si>
  <si>
    <t>Ability to determine, modify, and interpret the status of business entity information.</t>
  </si>
  <si>
    <t>Business Entity History Management</t>
  </si>
  <si>
    <t>Ability to manage a chronological order of events and information related to a business entity.</t>
  </si>
  <si>
    <t>Business Entity Analytics Management</t>
  </si>
  <si>
    <t>Campaign Management</t>
  </si>
  <si>
    <t>Campaign Definition</t>
  </si>
  <si>
    <t>Ability to establish, declare, and identify a campaign.</t>
  </si>
  <si>
    <t>Campaign Design</t>
  </si>
  <si>
    <t>Ability to define campaign collateral, including target specific messaging, graphic designs for each delivery channel, as well as identify the right channel mix and execution sequence.</t>
  </si>
  <si>
    <t>Campaign Response Management</t>
  </si>
  <si>
    <t>Ability to capture campaign target's interests, actions, and answers.</t>
  </si>
  <si>
    <t>Campaign Cost-Benefit Determination</t>
  </si>
  <si>
    <t>Ability to define and optimize the campaign spend vs. the value being delivered.</t>
  </si>
  <si>
    <t>Campaign Benefit Determination</t>
  </si>
  <si>
    <t>Ability to project the value being delivered through a campaign.</t>
  </si>
  <si>
    <t>Campaign Cost Determination</t>
  </si>
  <si>
    <t>Ability to project the required spend to deliver a campaign.</t>
  </si>
  <si>
    <t>Campaign Cost-Benefit Finalization</t>
  </si>
  <si>
    <t>Ability to balance the spend vs. value add for a campaign.</t>
  </si>
  <si>
    <t>Campaign Portfolio Management</t>
  </si>
  <si>
    <t>Ability to organize, aggregate, segment, and prioritize a collection of campaigns.</t>
  </si>
  <si>
    <t>Campaign Segmentation</t>
  </si>
  <si>
    <t>Ability to classify and analyze campaigns based on specific attributes.</t>
  </si>
  <si>
    <t>Campaign Aggregation</t>
  </si>
  <si>
    <t>Ability to group campaigns.</t>
  </si>
  <si>
    <t>Campaign Portfolio Balancing</t>
  </si>
  <si>
    <t>Ability to evaluate and prioritize a collection of campaigns within a portfolio, based on specific attributes, such as cost, benefit, target demographic, and channel.</t>
  </si>
  <si>
    <t>Campaign Performance Management</t>
  </si>
  <si>
    <t>Campaign Performance Threshold Setting</t>
  </si>
  <si>
    <t>Campaign Performance Threshold Measurement</t>
  </si>
  <si>
    <t>Campaign Performance Constraints Determination</t>
  </si>
  <si>
    <t>Ability to assess what is causing a campaign to underperform.</t>
  </si>
  <si>
    <t>Campaign Matching</t>
  </si>
  <si>
    <t>Ability to associate a campaign with other business objects.</t>
  </si>
  <si>
    <t>Ability to associate a campaign with a strategy and its objectives and goals.</t>
  </si>
  <si>
    <t>Ability to associate a campaign with a plan.</t>
  </si>
  <si>
    <t>Ability to associate a campaign with a program.</t>
  </si>
  <si>
    <t>Ability to associate a campaign with intellectual property items.</t>
  </si>
  <si>
    <t>Ability to associate a campaign with a market.</t>
  </si>
  <si>
    <t>Ability to associate a campaign with a product.</t>
  </si>
  <si>
    <t>Ability to associate a campaign with a customer.</t>
  </si>
  <si>
    <t>Ability to associate a campaign with a partner.</t>
  </si>
  <si>
    <t>Ability to associate a campaign with a location.</t>
  </si>
  <si>
    <t>Ability to associate a campaign with a channel.</t>
  </si>
  <si>
    <t>Ability to associate a campaign with a job.</t>
  </si>
  <si>
    <t>Ability to associate a campaign with training.</t>
  </si>
  <si>
    <t>Ability to associate a campaign with a policy.</t>
  </si>
  <si>
    <t>Ability to associate a campaign with financial plans and budgets.</t>
  </si>
  <si>
    <t>Campaign Information Management</t>
  </si>
  <si>
    <t>Ability to collect, organize, monitor, report on, or otherwise disseminate basic facts, statistics, attributes, and data about the campaign.</t>
  </si>
  <si>
    <t>Campaign Profile Management</t>
  </si>
  <si>
    <t>Campaign Type Management</t>
  </si>
  <si>
    <t>Ability to determine, modify, and interpret the category or classification of a campaign.</t>
  </si>
  <si>
    <t>Campaign State Management</t>
  </si>
  <si>
    <t>Ability to determine, modify, and interpret the status or condition of a campaign.</t>
  </si>
  <si>
    <t>Campaign History Management</t>
  </si>
  <si>
    <t>Campaign Analytics Management</t>
  </si>
  <si>
    <t>Ability to identify, establish, validate, and articulate metrics and measures on historic and predictive determinations for one or more campaigns.</t>
  </si>
  <si>
    <t>Intellectual Property Management</t>
  </si>
  <si>
    <t>Intellectual Property Definition</t>
  </si>
  <si>
    <t>Intellectual Property Matching</t>
  </si>
  <si>
    <t>Ability to associate intellectual property with other objects.</t>
  </si>
  <si>
    <t>Ability to associate intellectual property with an agreement.</t>
  </si>
  <si>
    <t>Ability to associate intellectual property with other intellectual properties.</t>
  </si>
  <si>
    <t>Ability to associate intellectual property with a product that implements or utilizes the intellectual property.</t>
  </si>
  <si>
    <t>Intellectual Property Information Management</t>
  </si>
  <si>
    <t>Ability to collect, organize, monitor, report on, or otherwise disseminate basic facts, statistics, attributes, and data about intellectual property.</t>
  </si>
  <si>
    <t>Intellectual Property Profile Management</t>
  </si>
  <si>
    <t>Intellectual Property Type Management</t>
  </si>
  <si>
    <t>Ability to determine, modify, and interpret the category or classification of intellectual property.</t>
  </si>
  <si>
    <t>Intellectual Property State Management</t>
  </si>
  <si>
    <t>Ability to determine, modify, and interpret the status or condition of intellectual property.</t>
  </si>
  <si>
    <t>Intellectual Property History Management</t>
  </si>
  <si>
    <t>Ability to identify, record, and represent a chronological order of events and actions associated with intellectual property.</t>
  </si>
  <si>
    <t>Intellectual Property Analytics Management</t>
  </si>
  <si>
    <t>Ability to identify, establish, validate, and articulate metrics and measures on historic and predictive determinations for one or more messages.</t>
  </si>
  <si>
    <t>Investment Management</t>
  </si>
  <si>
    <t>Ability to identify, develop, analyze, valuate, exchange, acquire, dispose of, and report on any type of monetary asset purchased with the idea that the asset will provide income in the future or will be sold at a higher price for a profit.</t>
  </si>
  <si>
    <t>Investment Definition</t>
  </si>
  <si>
    <t>Ability to establish, declare, and identify an investment.</t>
  </si>
  <si>
    <t>Investment Matching</t>
  </si>
  <si>
    <t>Ability to associate money received or disbursed with an investment.</t>
  </si>
  <si>
    <t>Ability to associate an investment with the research leading to that investment.</t>
  </si>
  <si>
    <t>Investment Information Management</t>
  </si>
  <si>
    <t>Investment Profile Management</t>
  </si>
  <si>
    <t>Investment Type Management</t>
  </si>
  <si>
    <t>Investment State Management</t>
  </si>
  <si>
    <t>Investment History Management</t>
  </si>
  <si>
    <t>Investment Analytics Management</t>
  </si>
  <si>
    <t>Market Management</t>
  </si>
  <si>
    <t>Market Definition</t>
  </si>
  <si>
    <t>Market Segmentation</t>
  </si>
  <si>
    <t>Ability to subdivide a market into unique, identifiable parts that may be targeted individually or in aggregate.</t>
  </si>
  <si>
    <t>Market Segment Identification</t>
  </si>
  <si>
    <t>Ability to define and identify unique, identifiable subcomponents of a market.</t>
  </si>
  <si>
    <t>Market Segment Attribute Articulation</t>
  </si>
  <si>
    <t>Ability to determine the properties associated with or describing a market segment.</t>
  </si>
  <si>
    <t>Market Segment Prioritization</t>
  </si>
  <si>
    <t>Ability to determine the relative importance of market segments to business objectives.</t>
  </si>
  <si>
    <t>Market Forecasting</t>
  </si>
  <si>
    <t>Ability to predict or estimate future trends over a defined period of time for a given market or market segment.</t>
  </si>
  <si>
    <t>Market Targeting</t>
  </si>
  <si>
    <t>Ability to identify and focus on a given market or market segment with the intent of, for example, communicating value, offering products and services, or otherwise promoting certain interests.</t>
  </si>
  <si>
    <t>Market Matching</t>
  </si>
  <si>
    <t>Market Information Management</t>
  </si>
  <si>
    <t>Ability to collect, organize, monitor, report on, or otherwise disseminate basic facts, statistics, attributes, and data about the market information.</t>
  </si>
  <si>
    <t>Market Information Type Management</t>
  </si>
  <si>
    <t>Market Information State Management</t>
  </si>
  <si>
    <t>Market Information History Management</t>
  </si>
  <si>
    <t>Ability to identify, establish, validate, and articulate metrics and measures on historic and predictive determinations for market information.</t>
  </si>
  <si>
    <t>Message Management</t>
  </si>
  <si>
    <t>Message Definition</t>
  </si>
  <si>
    <t>Ability to establish, declare, and identify a message.</t>
  </si>
  <si>
    <t>Message Design</t>
  </si>
  <si>
    <t>Ability to shape the intention and impact of a message, targeted to a specific audience.</t>
  </si>
  <si>
    <t>Message Validation</t>
  </si>
  <si>
    <t>Message Risk Management</t>
  </si>
  <si>
    <t>Ability to identify, assess, aggregate, articulate, and incorporate various exposures to harm, danger, or loss associated with a given message or set of messages.</t>
  </si>
  <si>
    <t>Message Risk Level Determination</t>
  </si>
  <si>
    <t>Ability to identify and define the level of risk associated with a message or set of messages.</t>
  </si>
  <si>
    <t>Message Risk Threshold Determination</t>
  </si>
  <si>
    <t>Ability to identify and define the level of acceptable risk associated with a message or set of messages.</t>
  </si>
  <si>
    <t>Message Matching</t>
  </si>
  <si>
    <t>Ability to associate messages with specific organizations, information, products, or processes.</t>
  </si>
  <si>
    <t>Ability to associate messages with research.</t>
  </si>
  <si>
    <t>Ability to associate messages with training.</t>
  </si>
  <si>
    <t>Ability to associate a message with a given market or market segment.</t>
  </si>
  <si>
    <t>Ability to associate messages with an incident.</t>
  </si>
  <si>
    <t>Ability to associate messages with an inquiry.</t>
  </si>
  <si>
    <t>Ability to associate a message with a legal proceeding.</t>
  </si>
  <si>
    <t>Ability to match a message with a plan.</t>
  </si>
  <si>
    <t>Ability to associate a message with a campaign.</t>
  </si>
  <si>
    <t>Message Information Management</t>
  </si>
  <si>
    <t>Ability to collect, organize, monitor, report on, or otherwise disseminate basic facts, statistics, attributes, and data about the message.</t>
  </si>
  <si>
    <t>Message Profile Management</t>
  </si>
  <si>
    <t>Message Type Management</t>
  </si>
  <si>
    <t>Ability to determine, modify, and interpret the category or classification of a message.</t>
  </si>
  <si>
    <t>Message State Management</t>
  </si>
  <si>
    <t>Ability to determine, modify, and interpret the status or condition of a message.</t>
  </si>
  <si>
    <t>Message History Management</t>
  </si>
  <si>
    <t>Message Analytics Management</t>
  </si>
  <si>
    <t>Plan Management</t>
  </si>
  <si>
    <t>Plan Definition</t>
  </si>
  <si>
    <t>Ability to establish, declare, and identify a plan.</t>
  </si>
  <si>
    <t>Plan Development</t>
  </si>
  <si>
    <t>Plan Verification</t>
  </si>
  <si>
    <t>Plan Risk Management</t>
  </si>
  <si>
    <t>Ability to identify, assess, aggregate, articulate, and incorporate various exposures to harm, danger, or loss associated with a given plan or set of plans.</t>
  </si>
  <si>
    <t>Plan Risk Level Determination</t>
  </si>
  <si>
    <t>Ability to identify and define the level of risk associated with a plan or set of plans.</t>
  </si>
  <si>
    <t>Plan Risk Threshold Determination</t>
  </si>
  <si>
    <t>Ability to identify and define the level of acceptable risk associated with a plan or set of plans.</t>
  </si>
  <si>
    <t>Plan Access Management</t>
  </si>
  <si>
    <t>Ability to control who, internally or externally, is able to view plans.</t>
  </si>
  <si>
    <t>Plan Access Constraints Definition</t>
  </si>
  <si>
    <t>Plan Access Constraints Interpretation</t>
  </si>
  <si>
    <t>Plan Access Enforcement</t>
  </si>
  <si>
    <t>Plan Matching</t>
  </si>
  <si>
    <t>Plan Information Management</t>
  </si>
  <si>
    <t>Ability to collect, organize, monitor, report on, or otherwise disseminate basic facts, statistics, attributes, and data about the plan.</t>
  </si>
  <si>
    <t>Plan Profile Management</t>
  </si>
  <si>
    <t>Plan Type Management</t>
  </si>
  <si>
    <t>Ability to determine, modify, and interpret the category or classification of a plan.</t>
  </si>
  <si>
    <t>Plan State Management</t>
  </si>
  <si>
    <t>Ability to determine, modify, and interpret the status or condition of a plan.</t>
  </si>
  <si>
    <t>Plan History Management</t>
  </si>
  <si>
    <t>Plan Analytics Management</t>
  </si>
  <si>
    <t>Ability to identify, establish, validate, and articulate metrics and measures on historic and predictive determinations for one or more plans.</t>
  </si>
  <si>
    <t>Policy Management</t>
  </si>
  <si>
    <t>Policy Definition</t>
  </si>
  <si>
    <t>Ability to establish, declare, and identify a policy.</t>
  </si>
  <si>
    <t>Policy Interpretation</t>
  </si>
  <si>
    <t>Policy Risk Management</t>
  </si>
  <si>
    <t>Ability to identify, assess, aggregate, articulate, and incorporate various exposures to harm, danger, or loss associated with a given policy or set of policies.</t>
  </si>
  <si>
    <t>Policy Risk Level Determination</t>
  </si>
  <si>
    <t>Ability to identify and define the level of risk associated with a policy or set of policies.</t>
  </si>
  <si>
    <t>Policy Risk Threshold Determination</t>
  </si>
  <si>
    <t>Ability to identify and define the level of acceptable risk associated with a policy or set of policies.</t>
  </si>
  <si>
    <t>Policy Access Management</t>
  </si>
  <si>
    <t>Ability to control who, internally or externally, is able to view a policy.</t>
  </si>
  <si>
    <t>Policy Access Constraints Definition</t>
  </si>
  <si>
    <t>Policy Access Constraints Interpretation</t>
  </si>
  <si>
    <t>Policy Access Enforcement</t>
  </si>
  <si>
    <t>Policy Matching</t>
  </si>
  <si>
    <t>Ability to associate policy with specific stakeholders, products, and other business perspectives.</t>
  </si>
  <si>
    <t>Ability to associate policies unique to a local or foreign location as needed to further the business.</t>
  </si>
  <si>
    <t>Ability to associate a policy with an authored item.</t>
  </si>
  <si>
    <t>Policy Information Management</t>
  </si>
  <si>
    <t>Ability to collect, organize, monitor, report on, or otherwise disseminate basic facts, statistics, attributes, and data about the policy.</t>
  </si>
  <si>
    <t>Policy Profile Management</t>
  </si>
  <si>
    <t>Policy Type Management</t>
  </si>
  <si>
    <t>Ability to determine, modify, and interpret the category or classification of a policy.</t>
  </si>
  <si>
    <t>Policy State Management</t>
  </si>
  <si>
    <t>Ability to determine, modify, and interpret the status or condition of a policy.</t>
  </si>
  <si>
    <t>Policy History Management</t>
  </si>
  <si>
    <t>Ability to identify, record, and represent a chronological order of events and actions associated with a  policy.</t>
  </si>
  <si>
    <t>Policy Analytics Management</t>
  </si>
  <si>
    <t>Ability to identify, establish, validate, and articulate metrics and measures on historic and predictive determinations for one or more policies.</t>
  </si>
  <si>
    <t>Research Management</t>
  </si>
  <si>
    <t>Ability to conduct systematic investigation into materials and sources in order to establish facts and reach conclusions that comprise a result.</t>
  </si>
  <si>
    <t>Research Result Management</t>
  </si>
  <si>
    <t>Ability to create, distribute, describe, translate, and disseminate research results.</t>
  </si>
  <si>
    <t>Research Dissemination</t>
  </si>
  <si>
    <t>Ability to publish and propagate research as required.</t>
  </si>
  <si>
    <t>Research Matching</t>
  </si>
  <si>
    <t>Research Information Management</t>
  </si>
  <si>
    <t>Ability to identify, analyze, interpret, structure, and disseminate qualitative and quantitative aspects of research.</t>
  </si>
  <si>
    <t>Strategy Management</t>
  </si>
  <si>
    <t>Strategy Definition</t>
  </si>
  <si>
    <t>Ability to set the objectives and related action items the organization will perform in order to be successful.</t>
  </si>
  <si>
    <t>Goal Definition</t>
  </si>
  <si>
    <t>Ability to define and communicate an end toward which effort is or should be directed.</t>
  </si>
  <si>
    <t>Objective Definition</t>
  </si>
  <si>
    <t>Action Item Dependency Determination</t>
  </si>
  <si>
    <t>Action Item Derivation</t>
  </si>
  <si>
    <t>Strategy Risk Management</t>
  </si>
  <si>
    <t>Ability to identify, assess, aggregate, articulate, and incorporate various exposures to harm, danger, or loss associated with a given strategy or set of strategies.</t>
  </si>
  <si>
    <t>Strategy Risk Level Determination</t>
  </si>
  <si>
    <t>Ability to identify and define the level of risk associated with a strategy or set of strategies.</t>
  </si>
  <si>
    <t>Strategy Risk Threshold Determination</t>
  </si>
  <si>
    <t>Ability to identify and define the level of acceptable risk associated with a strategy or set of strategies.</t>
  </si>
  <si>
    <t>Strategy Access Management</t>
  </si>
  <si>
    <t>Ability to control who, internally or externally, is able to view a strategy.</t>
  </si>
  <si>
    <t>Strategy Access Constraints Definition</t>
  </si>
  <si>
    <t>Strategy Access Constraints Interpretation</t>
  </si>
  <si>
    <t>Strategy Access Enforcement</t>
  </si>
  <si>
    <t>Strategy Matching</t>
  </si>
  <si>
    <t>Ability to tie or relate various aspects of strategy to other aspects of a strategy or related business objects.</t>
  </si>
  <si>
    <t>Ability to associate a strategy with a given market or market segment.</t>
  </si>
  <si>
    <t>Ability to collect, organize, monitor, report on, or otherwise disseminate basic facts, statistics, attributes, and data about the strategy.</t>
  </si>
  <si>
    <t>Strategy Profile Management</t>
  </si>
  <si>
    <t>Strategy Type Management</t>
  </si>
  <si>
    <t>Ability to determine, modify, and interpret the category or classification of a strategy.</t>
  </si>
  <si>
    <t>Strategy State Management</t>
  </si>
  <si>
    <t>Ability to determine, modify, and interpret the status or condition of a strategy.</t>
  </si>
  <si>
    <t>Strategy History Management</t>
  </si>
  <si>
    <t>Strategy Analytics Management</t>
  </si>
  <si>
    <t>Ability to identify, establish, validate, and articulate metrics and measures on historic and predictive determinations for one or more strategies.</t>
  </si>
  <si>
    <t>Agreement Management</t>
  </si>
  <si>
    <t>Agreement Definition</t>
  </si>
  <si>
    <t>Agreement Structuring</t>
  </si>
  <si>
    <t>Ability to formulate and construct a binding agreement encompassing such things as levels of risk, pricing, terms and conditions, period, duration, and termination privileges.</t>
  </si>
  <si>
    <t>Ability to formulate monetary or non-monetary amounts owed, resulting from the execution of an agreement.</t>
  </si>
  <si>
    <t>Agreement Standard Price Determination</t>
  </si>
  <si>
    <t>Agreement Custom Price Determination</t>
  </si>
  <si>
    <t>Agreement Price Finalization</t>
  </si>
  <si>
    <t>Agreement Validation</t>
  </si>
  <si>
    <t>Agreement Intentions Verification</t>
  </si>
  <si>
    <t>Agreement Policy Conformance Verification</t>
  </si>
  <si>
    <t>Ability to determine if an agreement is in accordance with all applicable enterprise policies.</t>
  </si>
  <si>
    <t>Agreement Formalization</t>
  </si>
  <si>
    <t>Ability to aggregate terms, risks, pricing, and related agreement elements into a finalized, executable form suitable to all parties.</t>
  </si>
  <si>
    <t>Agreement Structure Aggregation</t>
  </si>
  <si>
    <t>Agreement Content Standardization</t>
  </si>
  <si>
    <t>Agreement Preference Management</t>
  </si>
  <si>
    <t>Agreement Preference Definition</t>
  </si>
  <si>
    <t>Agreement Lifecycle Management</t>
  </si>
  <si>
    <t>Agreement Activation</t>
  </si>
  <si>
    <t>Ability to cause an agreement to be in-force.</t>
  </si>
  <si>
    <t>Agreement Termination</t>
  </si>
  <si>
    <t>Agreement Renewal</t>
  </si>
  <si>
    <t>Agreement Compliance Determination</t>
  </si>
  <si>
    <t>Agreement Interpretation</t>
  </si>
  <si>
    <t>Agreement Compliance Gap Analysis</t>
  </si>
  <si>
    <t>Agreement Risk Management</t>
  </si>
  <si>
    <t>Agreement Risk Level Determination</t>
  </si>
  <si>
    <t>Ability to identify and define the level of risk associated with an agreement.</t>
  </si>
  <si>
    <t>Agreement Risk Threshold Determination</t>
  </si>
  <si>
    <t>Agreement Risk Aggregation</t>
  </si>
  <si>
    <t>Agreement Access Management</t>
  </si>
  <si>
    <t>Agreement Access Constraints Definition</t>
  </si>
  <si>
    <t>Agreement Access Constraints Interpretation</t>
  </si>
  <si>
    <t>Ability to understand the restrictions, limitations, and permissions of an agreement and apply them in a specific situation.</t>
  </si>
  <si>
    <t>Agreement Access Enforcement</t>
  </si>
  <si>
    <t>Agreement Matching</t>
  </si>
  <si>
    <t>Ability to determine amounts, disburse, and receive funds related to an agreement with an external stakeholder.</t>
  </si>
  <si>
    <t>Ability to associate agreements with channels.</t>
  </si>
  <si>
    <t>Ability to associate required, interdependent, or complementary agreements with each other.</t>
  </si>
  <si>
    <t>Ability to associate an agreement with policies.</t>
  </si>
  <si>
    <t>Ability to associate an agreement with one or more facilities.</t>
  </si>
  <si>
    <t>Ability to associate an agreement with one or more assets.</t>
  </si>
  <si>
    <t>Ability to associate agreement terms with time periods.</t>
  </si>
  <si>
    <t>Ability to collect, process, and disseminate information associated with a legally binding agreement between the organization and a legal entity or individual.</t>
  </si>
  <si>
    <t>Agreement Profile Management</t>
  </si>
  <si>
    <t>Ability to identify, track, validate, report on, or otherwise administer descriptive information related to an agreement.</t>
  </si>
  <si>
    <t>Agreement Type Management</t>
  </si>
  <si>
    <t>Ability to determine and modify the category of an agreement.</t>
  </si>
  <si>
    <t>Agreement State Management</t>
  </si>
  <si>
    <t>Ability to determine, modify, and interpret the status of an agreement.</t>
  </si>
  <si>
    <t>Agreement History Management</t>
  </si>
  <si>
    <t>Ability to manage a chronological order of events and information that is related to an agreement.</t>
  </si>
  <si>
    <t>Agreement Analytics Management</t>
  </si>
  <si>
    <t>Channel Management</t>
  </si>
  <si>
    <t>Ability to establish, analyze, and utilize a digital, analog, or physical conduit through which products, related services, or communications are delivered or received, including the Internet, phone, delivery service, satellite, radio, or physical means.</t>
  </si>
  <si>
    <t>Channel Definition</t>
  </si>
  <si>
    <t>Channel Need Determination</t>
  </si>
  <si>
    <t>Channel Development</t>
  </si>
  <si>
    <t>Ability to identify, leverage, or create new avenues through which the organization can communicate, deliver products and services, and otherwise do business.</t>
  </si>
  <si>
    <t>Channel Design</t>
  </si>
  <si>
    <t>Channel Modeling</t>
  </si>
  <si>
    <t>Channel Packaging</t>
  </si>
  <si>
    <t>Ability to prepare and disseminate a channel into the marketplace.</t>
  </si>
  <si>
    <t>Channel Risk Management</t>
  </si>
  <si>
    <t>Ability to identify, evaluate, assess, aggregate, articulate, and incorporate various exposures to harm, danger, or loss associated with a given channel.</t>
  </si>
  <si>
    <t>Channel Risk Level Determination</t>
  </si>
  <si>
    <t>Ability to identify and define the level of risk associated with a channel.</t>
  </si>
  <si>
    <t>Channel Risk Threshold Determination</t>
  </si>
  <si>
    <t>Ability to identify and define the level of acceptable risk associated with a channel.</t>
  </si>
  <si>
    <t>Channel Risk Aggregation</t>
  </si>
  <si>
    <t>Ability to establish, control, and administer the level and extent of physical or virtual constraints associated with a channel.</t>
  </si>
  <si>
    <t>Channel Access Constraints Definition</t>
  </si>
  <si>
    <t>Channel Access Constraints Interpretation</t>
  </si>
  <si>
    <t>Channel Access Enforcement</t>
  </si>
  <si>
    <t>Channel Performance Management</t>
  </si>
  <si>
    <t>Channel Performance Threshold Setting</t>
  </si>
  <si>
    <t>Channel Performance Threshold Measurement</t>
  </si>
  <si>
    <t>Channel Performance Constraints Determination</t>
  </si>
  <si>
    <t>Ability to assess what is causing a channel to underperform.</t>
  </si>
  <si>
    <t>Ability to associate a channel with other related business objects.</t>
  </si>
  <si>
    <t>Ability to collect, organize, track, report on, or otherwise disseminate basic facts, statistics, attributes, and data about a channel.</t>
  </si>
  <si>
    <t>Channel Profile Management</t>
  </si>
  <si>
    <t>Channel Type Management</t>
  </si>
  <si>
    <t>Ability to determine, modify, and interpret the category or classification of a channel.</t>
  </si>
  <si>
    <t>Channel State Management</t>
  </si>
  <si>
    <t>Ability to determine, modify, and interpret the status or condition of a channel.</t>
  </si>
  <si>
    <t>Channel History Management</t>
  </si>
  <si>
    <t>Ability to identify, record, and represent a chronological order of events and actions associated with a channel.</t>
  </si>
  <si>
    <t>Ability to identify, establish, validate, and articulate metrics and measures on historic and predictive determinations for one or more channels.</t>
  </si>
  <si>
    <t>Channel Analytics Creation</t>
  </si>
  <si>
    <t>Channel Analytics Pattern Management</t>
  </si>
  <si>
    <t>Customer Management</t>
  </si>
  <si>
    <t>Customer Definition</t>
  </si>
  <si>
    <t>Ability to capture, represent, analyze, and act upon explicit or implicit wants, needs, inclinations, leanings, likings, predispositions, penchants, or options — expressed formally or informally — as determined or derived from a combination of sources and associated with a customer.</t>
  </si>
  <si>
    <t>Customer Preference Definition</t>
  </si>
  <si>
    <t>Ability to characterize the preferences that are related to a customer.</t>
  </si>
  <si>
    <t>Customer Preference Interpretation</t>
  </si>
  <si>
    <t>Customer Preference Enforcement</t>
  </si>
  <si>
    <t>Customer Risk Management</t>
  </si>
  <si>
    <t>Ability to identify, assess, aggregate, articulate, and incorporate various exposures to harm, danger, or loss associated with a given customer.</t>
  </si>
  <si>
    <t>Customer Risk Level Determination</t>
  </si>
  <si>
    <t>Ability to identify and define the level of risk associated with a customer.</t>
  </si>
  <si>
    <t>Customer Risk Threshold Determination</t>
  </si>
  <si>
    <t>Ability to identify and define the level of acceptable risk associated with a customer.</t>
  </si>
  <si>
    <t>Customer Risk Aggregation</t>
  </si>
  <si>
    <t>Ability to verify customer identity and access rights in context of a given business scenario and allow a customer to proceed based on those rights or otherwise prevent the customer from proceeding.</t>
  </si>
  <si>
    <t>Customer Identification</t>
  </si>
  <si>
    <t>Customer Access Rights Determination</t>
  </si>
  <si>
    <t>Customer Access Restriction</t>
  </si>
  <si>
    <t>Customer Portfolio Management</t>
  </si>
  <si>
    <t>Customer Portfolio Articulation</t>
  </si>
  <si>
    <t>Ability to evaluate the performance of the customer products and services as input to possible optimization of their portfolio.</t>
  </si>
  <si>
    <t>Customer Matching</t>
  </si>
  <si>
    <t>Ability to associate a customer with other relevant business objects.</t>
  </si>
  <si>
    <t>Ability to associate a customer with a strategy and its objectives and goals.</t>
  </si>
  <si>
    <t>Ability to associate a customer with a plan.</t>
  </si>
  <si>
    <t>Ability to associate a customer with a program.</t>
  </si>
  <si>
    <t>Ability to associate a customer with a market.</t>
  </si>
  <si>
    <t>Ability to associate a customer with one or more permanent or temporary locations.</t>
  </si>
  <si>
    <t>Customer Information Management</t>
  </si>
  <si>
    <t>Customer Profile Management</t>
  </si>
  <si>
    <t>Ability to identify, track, validate, report on, or otherwise administer descriptive information related to a customer.</t>
  </si>
  <si>
    <t>Customer Type Management</t>
  </si>
  <si>
    <t>Customer State Management</t>
  </si>
  <si>
    <t>Ability to determine, modify, and interpret the status of a customer.</t>
  </si>
  <si>
    <t>Ability to manage a chronological order of events, points of engagement, and other actions or decisions related to a customer.</t>
  </si>
  <si>
    <t>Partner Definition</t>
  </si>
  <si>
    <t>Partner Sourcing</t>
  </si>
  <si>
    <t>Ability to identify and engage with existing or potential new partners for purposes of delivering specific services or assets to the business and its customers.</t>
  </si>
  <si>
    <t>Ability to capture, represent, analyze, and act upon explicit or implicit inclinations, leanings, likings, predispositions, penchants, or options — expressed formally or informally — as determined or derived from a combination of sources and associated with a partner.</t>
  </si>
  <si>
    <t>Partner Preference Definition</t>
  </si>
  <si>
    <t>Ability to determine, establish, and maintain specific preferences of a partner.</t>
  </si>
  <si>
    <t>Partner Preference Interpretation</t>
  </si>
  <si>
    <t>Ability to understand, clarify, or describe a partner preference in relation to how that partner would like to interact with the organization.</t>
  </si>
  <si>
    <t>Partner Preference Enforcement</t>
  </si>
  <si>
    <t>Ability to apply, impose, or administer a partner's chosen preferences with the organization.</t>
  </si>
  <si>
    <t>Partner Risk Management</t>
  </si>
  <si>
    <t>Partner Risk Level Determination</t>
  </si>
  <si>
    <t>Ability to identify and define the level of risk associated with a partner.</t>
  </si>
  <si>
    <t>Partner Risk Threshold Determination</t>
  </si>
  <si>
    <t>Ability to identify and define the level of acceptable risk associated with a partner.</t>
  </si>
  <si>
    <t>Partner Risk Aggregation</t>
  </si>
  <si>
    <t>Partner Authentication and Authorization</t>
  </si>
  <si>
    <t>Ability to verify partner identity and access rights in context of a given business scenario and allow a partner to proceed based on those rights or otherwise prevent the partner from proceeding.</t>
  </si>
  <si>
    <t>Partner Identification</t>
  </si>
  <si>
    <t>Partner Access Rights Determination</t>
  </si>
  <si>
    <t>Partner Access Restriction</t>
  </si>
  <si>
    <t>Ability to associate a partner with a strategy and its objectives and goals.</t>
  </si>
  <si>
    <t>Ability to capture, organize, track, report on, or otherwise disseminate basic attributes, data, and other perspectives about the partner.</t>
  </si>
  <si>
    <t>Partner Profile Management</t>
  </si>
  <si>
    <t>Partner Type Management</t>
  </si>
  <si>
    <t>Partner State Management</t>
  </si>
  <si>
    <t>Ability to determine, modify, and interpret the status of a partner.</t>
  </si>
  <si>
    <t>Partner History Management</t>
  </si>
  <si>
    <t>Ability to manage a chronological order of events, points of engagement, and other actions or decisions related to a partner.</t>
  </si>
  <si>
    <t>Partner Analytics Management</t>
  </si>
  <si>
    <t>Product Management</t>
  </si>
  <si>
    <t>Product Definition</t>
  </si>
  <si>
    <t>Ability to establish, declare, and identify a product.</t>
  </si>
  <si>
    <t>Product Portfolio Management</t>
  </si>
  <si>
    <t>Ability to invent or formulate an idea for a new product or product enhancement.</t>
  </si>
  <si>
    <t>Product Need Determination</t>
  </si>
  <si>
    <t>Ability to identify and describe the appropriate market need for the new or enhanced product.</t>
  </si>
  <si>
    <t>Product Requirements Determination</t>
  </si>
  <si>
    <t>Ability to identify, describe, and prioritize the specifications required by the product.</t>
  </si>
  <si>
    <t>Product Concept Framing</t>
  </si>
  <si>
    <t>Product Development</t>
  </si>
  <si>
    <t>Ability to move a product from conceptualization through design to its finished state.</t>
  </si>
  <si>
    <t>Product Design</t>
  </si>
  <si>
    <t>Product Modeling</t>
  </si>
  <si>
    <t>Product Prototyping</t>
  </si>
  <si>
    <t>Product Packaging</t>
  </si>
  <si>
    <t>Ability to prepare and disseminate a product into the marketplace.</t>
  </si>
  <si>
    <t>Product Sourcing</t>
  </si>
  <si>
    <t>Product Validation</t>
  </si>
  <si>
    <t>Product Price Determination</t>
  </si>
  <si>
    <t>Product Market-Based Price Determination</t>
  </si>
  <si>
    <t>Product Cost-Based Price Determination</t>
  </si>
  <si>
    <t>Product Price Finalization</t>
  </si>
  <si>
    <t>Product Version Management</t>
  </si>
  <si>
    <t>Ability to identify, maintain, and service the multitude of variations of a product available in the market.</t>
  </si>
  <si>
    <t>Product Version Delta Determination</t>
  </si>
  <si>
    <t>Product Version Delta Reconciliation</t>
  </si>
  <si>
    <t>Product Lifecycle Management</t>
  </si>
  <si>
    <t>Product Activation</t>
  </si>
  <si>
    <t>Ability to manage the introductory stages of a product’s existence.</t>
  </si>
  <si>
    <t>Product Retirement</t>
  </si>
  <si>
    <t>Ability to manage the final stages of a product’s existence.</t>
  </si>
  <si>
    <t>Product Risk Management</t>
  </si>
  <si>
    <t>Ability to identify, assess, aggregate, articulate, and incorporate various exposures to harm, danger, or loss associated with a given product.</t>
  </si>
  <si>
    <t>Product Risk Level Determination</t>
  </si>
  <si>
    <t>Ability to identify and define the level of risk associated with a product.</t>
  </si>
  <si>
    <t>Product Risk Threshold Determination</t>
  </si>
  <si>
    <t>Ability to identify and define the level of acceptable risk associated with a product.</t>
  </si>
  <si>
    <t>Product Risk Aggregation</t>
  </si>
  <si>
    <t>Product Access Management</t>
  </si>
  <si>
    <t>Product Access Constraints Definition</t>
  </si>
  <si>
    <t>Product Access Constraints Interpretation</t>
  </si>
  <si>
    <t>Product Access Enforcement</t>
  </si>
  <si>
    <t>Product Performance Management</t>
  </si>
  <si>
    <t>Product Performance Threshold Setting</t>
  </si>
  <si>
    <t>Product Performance Threshold Measurement</t>
  </si>
  <si>
    <t>Product Performance Constraints Determination</t>
  </si>
  <si>
    <t>Ability to assess what is causing a product to underperform.</t>
  </si>
  <si>
    <t>Product Matching</t>
  </si>
  <si>
    <t>Ability to associate a product with other aspects of a product or related business objects.</t>
  </si>
  <si>
    <t>Ability to associate one product with another for product bundling or any other purpose.</t>
  </si>
  <si>
    <t>Ability to collect, organize, track, report on, or otherwise disseminate basic facts, statistics, attributes, and data about a product.</t>
  </si>
  <si>
    <t>Product Profile Management</t>
  </si>
  <si>
    <t>Product Type Management</t>
  </si>
  <si>
    <t>Ability to determine, modify, and interpret the category or classification of a product.</t>
  </si>
  <si>
    <t>Product State Management</t>
  </si>
  <si>
    <t>Ability to determine, modify, and interpret the status or condition of a product.</t>
  </si>
  <si>
    <t>Product History Management</t>
  </si>
  <si>
    <t>Ability to identify, record, and represent a chronological order of events and actions associated with a product.</t>
  </si>
  <si>
    <t>Ability to identify, establish, validate, and articulate metrics and measures on historic and predictive determinations for one or more products.</t>
  </si>
  <si>
    <t>Product Analytics Creation</t>
  </si>
  <si>
    <t>Product Analytics Pattern Management</t>
  </si>
  <si>
    <t>Ability to evaluate and ascertain commonalities across a set of analytical information for products.</t>
  </si>
  <si>
    <t>Asset Management</t>
  </si>
  <si>
    <t>Asset Definition</t>
  </si>
  <si>
    <t>Ability to establish, declare, and identify an asset.</t>
  </si>
  <si>
    <t>Asset Valuation</t>
  </si>
  <si>
    <t>Asset Validation</t>
  </si>
  <si>
    <t>Asset Configuration</t>
  </si>
  <si>
    <t>Asset Risk Management</t>
  </si>
  <si>
    <t>Asset Risk Level Determination</t>
  </si>
  <si>
    <t>Asset Risk Threshold Determination</t>
  </si>
  <si>
    <t>Asset Risk Aggregation</t>
  </si>
  <si>
    <t>Asset Access Management</t>
  </si>
  <si>
    <t>Asset Access Constraints Definition</t>
  </si>
  <si>
    <t>Asset Access Constraints Interpretation</t>
  </si>
  <si>
    <t>Asset Access Enforcement</t>
  </si>
  <si>
    <t>Asset Lifecycle Management</t>
  </si>
  <si>
    <t>Asset Activation</t>
  </si>
  <si>
    <t>Asset Decommission</t>
  </si>
  <si>
    <t>Ability to remove an asset from active use.</t>
  </si>
  <si>
    <t>Asset Matching</t>
  </si>
  <si>
    <t>Ability to associate one asset with another asset.</t>
  </si>
  <si>
    <t>Ability to associate an asset with a location.</t>
  </si>
  <si>
    <t>Ability to associate an asset with a facility.</t>
  </si>
  <si>
    <t>Ability to associate an asset with a partner.</t>
  </si>
  <si>
    <t>Ability to associate an asset with a work item.</t>
  </si>
  <si>
    <t>Ability to associate an asset with a program.</t>
  </si>
  <si>
    <t>Ability to associate an asset with an investment.</t>
  </si>
  <si>
    <t>Ability to associate an asset with a customer.</t>
  </si>
  <si>
    <t>Ability to associate an asset with a human resource.</t>
  </si>
  <si>
    <t>Ability to associate an asset with a job.</t>
  </si>
  <si>
    <t>Ability to associate an asset with a defined competency.</t>
  </si>
  <si>
    <t>Ability to associate an asset with a business entity.</t>
  </si>
  <si>
    <t>Asset Information Management</t>
  </si>
  <si>
    <t>Ability to collect, organize, monitor, report on, or otherwise disseminate basic facts, statistics, attributes, and data about the asset.</t>
  </si>
  <si>
    <t>Asset Profile Management</t>
  </si>
  <si>
    <t>Asset Type Management</t>
  </si>
  <si>
    <t>Asset State Management</t>
  </si>
  <si>
    <t>Asset History Management</t>
  </si>
  <si>
    <t>Asset Analytics Management</t>
  </si>
  <si>
    <t>Ability to identify, establish, validate, and articulate metrics and measures on historic and predictive determinations for one or more assets.</t>
  </si>
  <si>
    <t>Competency Management</t>
  </si>
  <si>
    <t>Ability to define, design, profile, rate, and validate the skills and knowledge necessary to do something.</t>
  </si>
  <si>
    <t>Competency Definition</t>
  </si>
  <si>
    <t>Ability to establish, declare, and identify a competency.</t>
  </si>
  <si>
    <t>Competency Level Management</t>
  </si>
  <si>
    <t>Ability to articulate different skills and knowledge scale required for a competency.</t>
  </si>
  <si>
    <t>Competency Performance Management</t>
  </si>
  <si>
    <t>Competency Performance Threshold Setting</t>
  </si>
  <si>
    <t>Competency Performance Threshold Measurement</t>
  </si>
  <si>
    <t>Ability to determine if a competency is exceeding of falling short of an acceptable threshold of performance.</t>
  </si>
  <si>
    <t>Competency Performance Constraints Determination</t>
  </si>
  <si>
    <t>Ability to assess what is causing a competency to underperform.</t>
  </si>
  <si>
    <t>Competency Matching</t>
  </si>
  <si>
    <t>Competency Information Management</t>
  </si>
  <si>
    <t>Ability to collect, organize, monitor, report on, or otherwise disseminate basic facts, statistics, attributes, and data about the competency.</t>
  </si>
  <si>
    <t>Competency Profile Management</t>
  </si>
  <si>
    <t>Competency Type Management</t>
  </si>
  <si>
    <t>Ability to determine, modify, and interpret the category or classification of a competency.</t>
  </si>
  <si>
    <t>Competency State Management</t>
  </si>
  <si>
    <t>Ability to determine, modify, and interpret the status or condition of a competency.</t>
  </si>
  <si>
    <t>Competency Analytics Management</t>
  </si>
  <si>
    <t>Competency History Management</t>
  </si>
  <si>
    <t>Ability to identify, establish, validate, and articulate metrics and measures on historic and predictive determinations for one or more competencies.</t>
  </si>
  <si>
    <t>Event Management</t>
  </si>
  <si>
    <t>Event Definition</t>
  </si>
  <si>
    <t>Event Matching</t>
  </si>
  <si>
    <t>Facility Management</t>
  </si>
  <si>
    <t>Ability to define, describe, and administer a physical structure at a given place where business is conducted.</t>
  </si>
  <si>
    <t>Facility Definition</t>
  </si>
  <si>
    <t>Ability to establish, declare, and identify a facility.</t>
  </si>
  <si>
    <t>Facility Design</t>
  </si>
  <si>
    <t>Ability to conceptualize and specify features that a facility must have, which conceptualization may take the form of drawings, blueprints, and other representations.</t>
  </si>
  <si>
    <t>Facility Configuration</t>
  </si>
  <si>
    <t>Ability to modify and adapt the facility to meet business needs.</t>
  </si>
  <si>
    <t>Facility Access Management</t>
  </si>
  <si>
    <t>Ability to establish, control, restrict, and administer rights to enter or use a facility in a variety of contexts.</t>
  </si>
  <si>
    <t>Facility Access Constraints Definition</t>
  </si>
  <si>
    <t>Ability to define and impose limitations of access rights to a given facility or set of facilities.</t>
  </si>
  <si>
    <t>Facility Access Constraints Interpretation</t>
  </si>
  <si>
    <t>Ability to understand imposed access rights limitations for a given facility or set of facilities. </t>
  </si>
  <si>
    <t>Facility Access Enforcement</t>
  </si>
  <si>
    <t>Ability to ensure that access rights are granted where constraints are not appropriate and to prevent access where constraints are in place to prevent access.</t>
  </si>
  <si>
    <t>Facility Performance Management</t>
  </si>
  <si>
    <t>Facility Performance Threshold Setting</t>
  </si>
  <si>
    <t>Facility Performance Threshold Measurement</t>
  </si>
  <si>
    <t>Facility Performance Constraints Determination</t>
  </si>
  <si>
    <t>Ability to assess what is causing a facility to underperform.</t>
  </si>
  <si>
    <t>Facility Risk Management</t>
  </si>
  <si>
    <t>Ability to identify, assess, aggregate, articulate, and incorporate various exposures to harm, danger, or loss associated with a given facility.</t>
  </si>
  <si>
    <t>Facility Risk Level Determination</t>
  </si>
  <si>
    <t>Facility Risk Threshold Determination</t>
  </si>
  <si>
    <t>Ability to identify and define the level of acceptable risk associated with a facility.</t>
  </si>
  <si>
    <t>Facility Risk Aggregation</t>
  </si>
  <si>
    <t>Facility Matching</t>
  </si>
  <si>
    <t>Facility Information Management</t>
  </si>
  <si>
    <t>Ability to collect, organize, monitor, report on, or otherwise disseminate basic facts, statistics, attributes, and data about the facility.</t>
  </si>
  <si>
    <t>Facility Type Management</t>
  </si>
  <si>
    <t>Facility State Management</t>
  </si>
  <si>
    <t>Ability to determine, modify, and interpret the category or classification of a facility.</t>
  </si>
  <si>
    <t>Facility Profile Management</t>
  </si>
  <si>
    <t>Ability to determine, modify, and interpret the status or condition of a facility.</t>
  </si>
  <si>
    <t>Facility History Management</t>
  </si>
  <si>
    <t>Facility Analytics Management</t>
  </si>
  <si>
    <t>Ability to identify, establish, validate, and articulate metrics and measures on historic and predictive determinations for one or more facilities.</t>
  </si>
  <si>
    <t>Finance Management</t>
  </si>
  <si>
    <t>Financial Forecast Definition</t>
  </si>
  <si>
    <t>Financial Forecast Validation</t>
  </si>
  <si>
    <t>Financial Account Management</t>
  </si>
  <si>
    <t>Financial Account Definition</t>
  </si>
  <si>
    <t>Ability to establish, declare, and identify a financial account.</t>
  </si>
  <si>
    <t>Financial Account Type Management</t>
  </si>
  <si>
    <t>Financial Account State Management</t>
  </si>
  <si>
    <t>Financial Account Balancing</t>
  </si>
  <si>
    <t>Financial Account Reconciliation</t>
  </si>
  <si>
    <t>Ability to ensure that a given financial account is aligned to financial objectives, accounting rules, or other measurement standards.</t>
  </si>
  <si>
    <t>Financial Risk Determination</t>
  </si>
  <si>
    <t>Financial Threat Determination</t>
  </si>
  <si>
    <t>Financial Risk Aggregation</t>
  </si>
  <si>
    <t>Currency Management</t>
  </si>
  <si>
    <t>Currency Definition</t>
  </si>
  <si>
    <t>Ability to define a currency used by the business.</t>
  </si>
  <si>
    <t>Currency Valuation</t>
  </si>
  <si>
    <t>Ability to determine the value of monetary resources in one currency in relation to another.</t>
  </si>
  <si>
    <t>Tax Management</t>
  </si>
  <si>
    <t>Tax Definition</t>
  </si>
  <si>
    <t>Tax Type Management</t>
  </si>
  <si>
    <t>Tax State Management</t>
  </si>
  <si>
    <t>Tax Amount Determination</t>
  </si>
  <si>
    <t>Ability to assess and calculate the total taxes due or otherwise addressed.</t>
  </si>
  <si>
    <t>Payment Management</t>
  </si>
  <si>
    <t>Payment Definition</t>
  </si>
  <si>
    <t>Ability to establish a pending or paid payment.</t>
  </si>
  <si>
    <t>Payment State Management</t>
  </si>
  <si>
    <t>Payment Type Management</t>
  </si>
  <si>
    <t>Payment Amount Determination</t>
  </si>
  <si>
    <t>Financial Transaction Management</t>
  </si>
  <si>
    <t>Financial Transaction Definition</t>
  </si>
  <si>
    <t>Ability to create a financial transaction.</t>
  </si>
  <si>
    <t>Financial Transaction Type Management</t>
  </si>
  <si>
    <t>Ability to define and maintain the classification and categories of a financial transaction.</t>
  </si>
  <si>
    <t>Financial Transaction State Management</t>
  </si>
  <si>
    <t>Ability to define and maintain the various conditions or state that apply to financial transactions.</t>
  </si>
  <si>
    <t>Financial Transaction Validation</t>
  </si>
  <si>
    <t>Ability to verify that a financial transaction has completed or can complete successfully.</t>
  </si>
  <si>
    <t>Financial Transaction Recording</t>
  </si>
  <si>
    <t>Financial Transaction Matching</t>
  </si>
  <si>
    <t>Ability to associate a transaction with a financial account or accounts.</t>
  </si>
  <si>
    <t>Ability to associate a financial transaction with an investment.</t>
  </si>
  <si>
    <t>Ability to associate a financial transaction with a channel(s) on which it occurred.</t>
  </si>
  <si>
    <t>Ability to associate a financial transaction with a customer.</t>
  </si>
  <si>
    <t>Ability to associate a financial transaction with a partner.</t>
  </si>
  <si>
    <t>Finance Matching</t>
  </si>
  <si>
    <t>Finance Information Management </t>
  </si>
  <si>
    <t>Finance Analytics Management</t>
  </si>
  <si>
    <t>Ability to discover, interpret, and communicate meaningful patterns, metrics, measures, and thresholds from finance information.</t>
  </si>
  <si>
    <t>Human Resource Management</t>
  </si>
  <si>
    <t>Human Resource Definition</t>
  </si>
  <si>
    <t>Ability to establish, declare, and identify a human resource.</t>
  </si>
  <si>
    <t>Human Resource Preference Management</t>
  </si>
  <si>
    <t>Human Resource Preference Definition</t>
  </si>
  <si>
    <t>Human Resource Preference Enforcement</t>
  </si>
  <si>
    <t>Human Resource Compensation Management</t>
  </si>
  <si>
    <t>Human Resource Matching</t>
  </si>
  <si>
    <t>Ability to associate human resources with a campaign.</t>
  </si>
  <si>
    <t>Ability to associate human resources with a partner.</t>
  </si>
  <si>
    <t>Human Resource Information Management</t>
  </si>
  <si>
    <t>Ability to collect, organize, monitor, report on, or otherwise disseminate basic facts, statistics, attributes, and data about the human resource.</t>
  </si>
  <si>
    <t>Human Resource Profile Management</t>
  </si>
  <si>
    <t>Human Resource Type Management</t>
  </si>
  <si>
    <t>Ability to determine, modify, and interpret the category or classification of a human resource.</t>
  </si>
  <si>
    <t>Human Resource State Management</t>
  </si>
  <si>
    <t>Ability to determine, modify, and interpret the status or condition of a human resource.</t>
  </si>
  <si>
    <t>Human Resource History Management</t>
  </si>
  <si>
    <t>Human Resource Analytics Management</t>
  </si>
  <si>
    <t>Ability to identify, establish, validate, and articulate metrics and measures on historic and predictive determinations for one or more human resources.</t>
  </si>
  <si>
    <t>Human Resource Analytics Creation</t>
  </si>
  <si>
    <t>Human Resource Analytics Pattern Management</t>
  </si>
  <si>
    <t>Ability to evaluate and ascertain commonalities across a set of analytical information for human resources.</t>
  </si>
  <si>
    <t>Incident Management</t>
  </si>
  <si>
    <t>Incident Definition</t>
  </si>
  <si>
    <t>Ability to establish, declare, and identify an incident.</t>
  </si>
  <si>
    <t>Incident Risk Management</t>
  </si>
  <si>
    <t>Ability to identify, assess, aggregate, articulate, and incorporate various exposures to harm, danger, or loss associated with a given incident.</t>
  </si>
  <si>
    <t>Incident Risk Level Determination</t>
  </si>
  <si>
    <t>Ability to identify and define the level of risk associated with an incident.</t>
  </si>
  <si>
    <t>Incident Risk Threshold Determination</t>
  </si>
  <si>
    <t>Ability to identify and define the level of acceptable risk associated with an incident.</t>
  </si>
  <si>
    <t>Incident Risk Aggregation</t>
  </si>
  <si>
    <t>Incident Lifecycle Management</t>
  </si>
  <si>
    <t>Incident Scope Management</t>
  </si>
  <si>
    <t>Ability to constrain the applicability of incidents.</t>
  </si>
  <si>
    <t>Incident Change Management</t>
  </si>
  <si>
    <t>Ability to state what modifications to the incidents are or might be enacted, and to state what the impact of that modification might be on outcomes.</t>
  </si>
  <si>
    <t>Incident Matching</t>
  </si>
  <si>
    <t>Incident Information Management</t>
  </si>
  <si>
    <t>Ability to collect, organize, monitor, report on, or otherwise disseminate basic facts, statistics, attributes, and data about the incident.</t>
  </si>
  <si>
    <t>Incident Type Management</t>
  </si>
  <si>
    <t>Incident State Management</t>
  </si>
  <si>
    <t>Incident History Management</t>
  </si>
  <si>
    <t>Incident Analytics Management</t>
  </si>
  <si>
    <t>Ability to identify, establish, validate, and articulate metrics and measures on historic and predictive determinations for one or more incidents.</t>
  </si>
  <si>
    <t>Information Management</t>
  </si>
  <si>
    <t>Information Definition</t>
  </si>
  <si>
    <t>Ability to establish the existence of accessible facts, statistics, attributes, and other types of data about a business. </t>
  </si>
  <si>
    <t>Information Organization</t>
  </si>
  <si>
    <t>Ability to classify, categorize, index, annotate, model, and otherwise structure information for purposes of searching, retrieving, and reusing it.</t>
  </si>
  <si>
    <t>Information Aggregation</t>
  </si>
  <si>
    <t>Ability to gather and express information in a summary form to satisfy a business need. </t>
  </si>
  <si>
    <t>Information Packaging</t>
  </si>
  <si>
    <t>Ability to selectively prepare and expose information so that it is fit for purpose. </t>
  </si>
  <si>
    <t>Information Compression</t>
  </si>
  <si>
    <t>Ability to remove redundancy in, tokenize, and otherwise reduce the size, footprint, usage, and volume of information.</t>
  </si>
  <si>
    <t>Information Virtualization</t>
  </si>
  <si>
    <t>Ability to render information in digital form and to distribute access to it across one or more digital sources.</t>
  </si>
  <si>
    <t>Information Versioning</t>
  </si>
  <si>
    <t>Information Validation and Verification</t>
  </si>
  <si>
    <t>Ability to ensure that information has been examined, tested, and otherwise determined to be fit for its intended use according to a defined set of policies.</t>
  </si>
  <si>
    <t>Information Integrity Assurance</t>
  </si>
  <si>
    <t>Information Security Management</t>
  </si>
  <si>
    <t>Ability to control access, use, disclosure, disruption, modification, inspection, recording, or destruction of information.</t>
  </si>
  <si>
    <t>Information Encryption</t>
  </si>
  <si>
    <t>Ability to encode information in a cipher to prevent or limit its unauthorized access, change, or claim of provenance.</t>
  </si>
  <si>
    <t>Information Obfuscation</t>
  </si>
  <si>
    <t>Ability to conceal information content in a cipher using symmetric or public key encryption.</t>
  </si>
  <si>
    <t>Information Non-Repudiation</t>
  </si>
  <si>
    <t>Ability to ensure that information is from a known, determinate source using symmetric or public key encryption.</t>
  </si>
  <si>
    <t>Information Security Level Identification</t>
  </si>
  <si>
    <t>Ability to determine the degree of authority required to create, access, modify, and delete information.</t>
  </si>
  <si>
    <t>Information Security Level Setting</t>
  </si>
  <si>
    <t>Ability to establish authorization levels for particular information for types of persons or organizations.</t>
  </si>
  <si>
    <t>Information Security Level Interpretation</t>
  </si>
  <si>
    <t>Information Access Control</t>
  </si>
  <si>
    <t>Information Access Constraints Definition</t>
  </si>
  <si>
    <t>Information Access Constraints Interpretation</t>
  </si>
  <si>
    <t>Information Access Enforcement</t>
  </si>
  <si>
    <t>Information Persistence</t>
  </si>
  <si>
    <t>Ability to store and control business data according to rules across its lifecycle to ensure access for business operations.</t>
  </si>
  <si>
    <t>Ability to establish a timeline for information retention.</t>
  </si>
  <si>
    <t>Information Archiving</t>
  </si>
  <si>
    <t>Ability to determine requirements for backup and save information for a predetermined amount of time and to retrieve that information on demand.</t>
  </si>
  <si>
    <t>Information Transformation</t>
  </si>
  <si>
    <t>Information State Management</t>
  </si>
  <si>
    <t>Information Type Management</t>
  </si>
  <si>
    <t>Ability to manage the categories and taxonomies of information.</t>
  </si>
  <si>
    <t>Information History Management</t>
  </si>
  <si>
    <t>Information Matching</t>
  </si>
  <si>
    <t>Ability to associate information with a plan.</t>
  </si>
  <si>
    <t>Ability to associate information with strategies and objectives.</t>
  </si>
  <si>
    <t>Inquiry Management</t>
  </si>
  <si>
    <t>Inquiry Definition</t>
  </si>
  <si>
    <t>Ability to establish, declare, and identify an inquiry.</t>
  </si>
  <si>
    <t>Inquiry Discovery</t>
  </si>
  <si>
    <t>Inquiry Interpretation</t>
  </si>
  <si>
    <t>Ability to determine the meaning and intent of an inquiry.</t>
  </si>
  <si>
    <t>Inquiry Risk Management</t>
  </si>
  <si>
    <t>Ability to identify, assess, aggregate, articulate, and incorporate various exposures to harm, danger, or loss associated with a given inquiry.</t>
  </si>
  <si>
    <t>Inquiry Risk Level Determination</t>
  </si>
  <si>
    <t>Ability to identify and define the level of risk associated with an inquiry.</t>
  </si>
  <si>
    <t>Inquiry Risk Threshold Determination</t>
  </si>
  <si>
    <t>Ability to identify and define the level of acceptable risk associated with an inquiry.</t>
  </si>
  <si>
    <t>Inquiry Risk Aggregation</t>
  </si>
  <si>
    <t>Inquiry Matching</t>
  </si>
  <si>
    <t>Ability to associate an inquiry with research.</t>
  </si>
  <si>
    <t>Inquiry Information Management</t>
  </si>
  <si>
    <t>Ability to collect, organize, monitor, report on, or otherwise disseminate basic facts, statistics, attributes, and data about the inquiry.</t>
  </si>
  <si>
    <t>Inquiry Profile Management</t>
  </si>
  <si>
    <t>Inquiry Type Management</t>
  </si>
  <si>
    <t>Inquiry State Management</t>
  </si>
  <si>
    <t>Inquiry History Management</t>
  </si>
  <si>
    <t>Inquiry Analytics Management</t>
  </si>
  <si>
    <t>Ability to identify, establish, validate, and articulate metrics and measures on historic and predictive determinations for one or more inquiries.</t>
  </si>
  <si>
    <t>Job Management</t>
  </si>
  <si>
    <t>Job Definition</t>
  </si>
  <si>
    <t>Ability to establish, declare, and identify a job.</t>
  </si>
  <si>
    <t>Job Design</t>
  </si>
  <si>
    <t>Ability to identify, define and configure the attributes for accountabilities specific to a job.</t>
  </si>
  <si>
    <t>Job Activation</t>
  </si>
  <si>
    <t>Ability to put into effect or out of effect the accountabilities designed specific to a job.</t>
  </si>
  <si>
    <t>Job Validation</t>
  </si>
  <si>
    <t>Ability to assess the job against the need for which it was created.</t>
  </si>
  <si>
    <t>Job Performance Management</t>
  </si>
  <si>
    <t>Job Performance Threshold Setting</t>
  </si>
  <si>
    <t>Job Performance Threshold Measurement</t>
  </si>
  <si>
    <t>Job Performance Constraints Determination</t>
  </si>
  <si>
    <t>Ability to assess what is causing a job to underperform.</t>
  </si>
  <si>
    <t>Job Risk Management</t>
  </si>
  <si>
    <t>Ability to identify, assess, aggregate, articulate, and incorporate various exposures to harm, danger, or loss associated with a given job.</t>
  </si>
  <si>
    <t>Job Risk Level Determination</t>
  </si>
  <si>
    <t>Job Risk Threshold Determination</t>
  </si>
  <si>
    <t>Job Risk Aggregation</t>
  </si>
  <si>
    <t>Job Matching</t>
  </si>
  <si>
    <t>Job Information Management</t>
  </si>
  <si>
    <t>Ability to collect, organize, monitor, report on, or otherwise disseminate basic facts, statistics, attributes, and data about the job.</t>
  </si>
  <si>
    <t>Job Profile Management</t>
  </si>
  <si>
    <t>Job Type Management</t>
  </si>
  <si>
    <t>Ability to determine, modify, and interpret the category or classification of a job.</t>
  </si>
  <si>
    <t>Job State Management</t>
  </si>
  <si>
    <t>Ability to determine, modify, and interpret the status or condition of a job.</t>
  </si>
  <si>
    <t>Job Analytics Management</t>
  </si>
  <si>
    <t>Job History Management</t>
  </si>
  <si>
    <t>Ability to identify, establish, validate, and articulate metrics and measures on historic and predictive determinations for one or more jobs.</t>
  </si>
  <si>
    <t>Legal Proceeding Management</t>
  </si>
  <si>
    <t>Legal Proceeding Definition</t>
  </si>
  <si>
    <t>Legal Proceeding Matching</t>
  </si>
  <si>
    <t>Ability to associate a legal proceeding with a policy.</t>
  </si>
  <si>
    <t>Ability to associate a legal proceeding with research.</t>
  </si>
  <si>
    <t>Ability to provide legal analysis and advice for purposes of strategic decision making.</t>
  </si>
  <si>
    <t>Legal Proceeding Information Management</t>
  </si>
  <si>
    <t>Ability to collect, organize, monitor, report on, or otherwise disseminate basic facts, statistics, attributes, and data about a legal proceeding.</t>
  </si>
  <si>
    <t>Legal Proceeding Profile Management</t>
  </si>
  <si>
    <t>Legal Proceeding Type Management</t>
  </si>
  <si>
    <t>Ability to determine, modify, and interpret the category or classification of a legal proceeding.</t>
  </si>
  <si>
    <t>Legal Proceeding State Management</t>
  </si>
  <si>
    <t>Ability to determine, modify, and interpret the status or condition of a legal proceeding.</t>
  </si>
  <si>
    <t>Legal Proceeding History Management</t>
  </si>
  <si>
    <t>Location Management</t>
  </si>
  <si>
    <t>Location Definition</t>
  </si>
  <si>
    <t>Ability to establish, declare, and identify a place or position.</t>
  </si>
  <si>
    <t>Location Interpretation</t>
  </si>
  <si>
    <t>Ability to identify a given location by using its sub-categories and attributes.</t>
  </si>
  <si>
    <t>Location Hierarchy Management</t>
  </si>
  <si>
    <t>Location Transformation Management</t>
  </si>
  <si>
    <t>Ability to change any given representation of a location to another representation.</t>
  </si>
  <si>
    <t>Location Evaluation Management</t>
  </si>
  <si>
    <t>Ability to measure the qualitative or quantitative characteristics of a given location.</t>
  </si>
  <si>
    <t>Location Access Management</t>
  </si>
  <si>
    <t>Ability to establish, control, restrict, and administer rights to enter or use a location in a variety of contexts.</t>
  </si>
  <si>
    <t>Location Access Constraints Definition</t>
  </si>
  <si>
    <t>Ability to define and impose limitations of access rights to a given location or set of locations.</t>
  </si>
  <si>
    <t>Location Access Constraints Interpretation</t>
  </si>
  <si>
    <t>Ability to understand imposed access rights limitations for a given location or set of locations. </t>
  </si>
  <si>
    <t>Location Access Enforcement</t>
  </si>
  <si>
    <t>Location Risk Management</t>
  </si>
  <si>
    <t>Ability to identify, assess, aggregate, articulate, and incorporate various exposures to harm, danger, or loss associated with a given location.</t>
  </si>
  <si>
    <t>Location Risk Level Determination</t>
  </si>
  <si>
    <t>Location Risk Threshold Determination</t>
  </si>
  <si>
    <t>Location Risk Aggregation</t>
  </si>
  <si>
    <t>Location Matching</t>
  </si>
  <si>
    <t>Ability to associate certain rules, legislative, or related constraints with a given region, state, province, or other eminent domain.</t>
  </si>
  <si>
    <t>Ability to match a location with a plan.</t>
  </si>
  <si>
    <t>Location Information Management</t>
  </si>
  <si>
    <t>Ability to collect, organize, monitor, report on, or otherwise disseminate basic facts, statistics, attributes, and data about the location.</t>
  </si>
  <si>
    <t>Location Profile Management</t>
  </si>
  <si>
    <t>Location Type Management</t>
  </si>
  <si>
    <t>Ability to determine, modify, and interpret the category or classification of a location.</t>
  </si>
  <si>
    <t>Location State Management</t>
  </si>
  <si>
    <t>Ability to determine, modify, and interpret the status or condition of a location.</t>
  </si>
  <si>
    <t>Location History Management</t>
  </si>
  <si>
    <t>Location Analytics Management</t>
  </si>
  <si>
    <t>Ability to identify, establish, validate, and articulate metrics and measures on historic and predictive determinations for one or more locations.</t>
  </si>
  <si>
    <t>Program Management</t>
  </si>
  <si>
    <t>Ability to establish, declare, and identify a program.</t>
  </si>
  <si>
    <t>Program Scope Management</t>
  </si>
  <si>
    <t>Program Risk Management</t>
  </si>
  <si>
    <t>Ability to identify, assess, aggregate, articulate, and incorporate various exposures to harm, danger, or loss associated with a given program.</t>
  </si>
  <si>
    <t>Program Risk Level Determination</t>
  </si>
  <si>
    <t>Program Risk Threshold Determination</t>
  </si>
  <si>
    <t>Program Risk Aggregation</t>
  </si>
  <si>
    <t>Program Performance Management</t>
  </si>
  <si>
    <t>Program Performance Threshold Setting</t>
  </si>
  <si>
    <t>Program Performance Threshold Measurement</t>
  </si>
  <si>
    <t>Program Performance Constraints Determination</t>
  </si>
  <si>
    <t>Ability to assess what is causing a program to underperform.</t>
  </si>
  <si>
    <t>Program Lifecycle Management</t>
  </si>
  <si>
    <t>Program Change Management</t>
  </si>
  <si>
    <t>Ability to state what changes to the program are or might be enacted, and to state what the impact of that change might be on scope, duration, cost, or resource.</t>
  </si>
  <si>
    <t>Program Matching</t>
  </si>
  <si>
    <t>Ability to associate the program management documents with authored items.</t>
  </si>
  <si>
    <t>Program Information Management</t>
  </si>
  <si>
    <t>Ability to collect, organize, monitor, report on, or otherwise disseminate basic facts, statistics, attributes, and data about the program.</t>
  </si>
  <si>
    <t>Program Profile Management</t>
  </si>
  <si>
    <t>Program Type Management</t>
  </si>
  <si>
    <t>Ability to determine, modify, and interpret the category or classification of a program.</t>
  </si>
  <si>
    <t>Program State Management</t>
  </si>
  <si>
    <t>Ability to determine, modify, and interpret the status or condition of a program.</t>
  </si>
  <si>
    <t>Program History Management</t>
  </si>
  <si>
    <t>Program Analytics Management</t>
  </si>
  <si>
    <t>Ability to identify, establish, validate, and articulate metrics and measures on historic and predictive determinations for one or more programs.</t>
  </si>
  <si>
    <t>Training Management</t>
  </si>
  <si>
    <t>Ability to define, conceptualize, create, and convey structured content and knowledge in consumable format, associated with a curriculum, a course, workshop, seminar, or related content.</t>
  </si>
  <si>
    <t>Training Definition</t>
  </si>
  <si>
    <t>Training Development</t>
  </si>
  <si>
    <t>Training Design</t>
  </si>
  <si>
    <t>Ability to determine aesthetics and pedagogy for a course of instruction.</t>
  </si>
  <si>
    <t>Training Matching</t>
  </si>
  <si>
    <t>Ability to associate training with a location.</t>
  </si>
  <si>
    <t>Training Information Management</t>
  </si>
  <si>
    <t>Ability to collect, organize, monitor, report on, or otherwise disseminate basic facts, statistics, attributes, and data about the training.</t>
  </si>
  <si>
    <t>Training Type Management</t>
  </si>
  <si>
    <t>Training History Management</t>
  </si>
  <si>
    <t>Training Profile Management</t>
  </si>
  <si>
    <t>Training State Management</t>
  </si>
  <si>
    <t>Training Analytics Management</t>
  </si>
  <si>
    <t>Ability to identify, establish, validate, and articulate metrics and measures on historic and predictive determinations for one or more trainings.</t>
  </si>
  <si>
    <t>Work Item Definition</t>
  </si>
  <si>
    <t>Ability to identify and quantify a bound task that can be prioritized and delivered to a location or stakeholder. </t>
  </si>
  <si>
    <t>Work Item Requirements Definition</t>
  </si>
  <si>
    <t>Ability to define the required needs and scope for establishing a work item.</t>
  </si>
  <si>
    <t>Ability to collect and analyze the efficiency and effectiveness of work items carried out.</t>
  </si>
  <si>
    <t>Ability to make work tasks available to individuals, teams, business areas, or systems, typically in targeting work queues, based on a triggering event.</t>
  </si>
  <si>
    <t>Ability to determine the location for the production of a work item.</t>
  </si>
  <si>
    <t>Ability to define the production and delivery of work items across multiple locations.</t>
  </si>
  <si>
    <t>Ability to allocate work against available resources in accordance with a schedule.</t>
  </si>
  <si>
    <t>Ability to associate a submission with a customer, agreement, account, or other business domain. </t>
  </si>
  <si>
    <t>Ability to associate an event with a work item or queue.</t>
  </si>
  <si>
    <t>Ability to capture, prioritize, structure, filter, and exhibit tasks to be processed by an individual or an automated system. </t>
  </si>
  <si>
    <t>Ability to establish and identify a work queue.</t>
  </si>
  <si>
    <t>Ability to order the sequence of items in a work queue.</t>
  </si>
  <si>
    <t>Ability to define, evaluate, and control an aggregation of times, dates, and milestones in context of a specific goal or objective.</t>
  </si>
  <si>
    <t>Ability to determine a starting time for work or work items.</t>
  </si>
  <si>
    <t>Ability to determine an ending time for work or work items.</t>
  </si>
  <si>
    <t>Work Profile Management</t>
  </si>
  <si>
    <t>Work History Management</t>
  </si>
  <si>
    <t>Work Analytics Management</t>
  </si>
  <si>
    <t>Ability to enable external creation of a submission through interfaces or other means. </t>
  </si>
  <si>
    <t>Ability to understand what submission information means and for which business units.</t>
  </si>
  <si>
    <t>Ability to recognize and communicate receipt of a submission back to the submitting party. </t>
  </si>
  <si>
    <t>Submission Validation</t>
  </si>
  <si>
    <t>Ability to determine that a submission meets a defined acceptance criteria. </t>
  </si>
  <si>
    <t>Submission Routing</t>
  </si>
  <si>
    <t>Ability to route a submission in whole or in part to various targets. </t>
  </si>
  <si>
    <t>Ability to identify and react to a situation or an occurrence based on a time, stakeholder, or otherwise initiated or triggered situation, happening, incident, occurrence, or scenario. </t>
  </si>
  <si>
    <t>Ability to initiate a specific instance of a situation or occurrence within a business.</t>
  </si>
  <si>
    <t>Decision Management</t>
  </si>
  <si>
    <t>Ability to define, reach, formalize, document, record, and disseminate a conclusion or resolution reached after considering alternative options.</t>
  </si>
  <si>
    <t>Ability to create and identify an authored item.</t>
  </si>
  <si>
    <t>Ability to say what an unstructured authored item is or will be.</t>
  </si>
  <si>
    <t>Ability to say what a structured authored item is or will be.</t>
  </si>
  <si>
    <t>Ability to complete work on an authored item.</t>
  </si>
  <si>
    <t>Order Management</t>
  </si>
  <si>
    <t>Ability to place, settle, match, and otherwise manage a request by one party to another to buy, sell, or exchange financial instruments or other goods or services.</t>
  </si>
  <si>
    <t>Order Definition</t>
  </si>
  <si>
    <t>Order Quote Management</t>
  </si>
  <si>
    <t xml:space="preserve">Ability to obtain and provide offers for exchange of a financial instrument in response to a trade order. </t>
  </si>
  <si>
    <t>Order Placement</t>
  </si>
  <si>
    <t>Ability to place or enter an order for the exchange or trade of a financial instrument in the appropriate market(s).</t>
  </si>
  <si>
    <t>Order Settlement</t>
  </si>
  <si>
    <t>Ability to control, execute, and record the exchange of financial instruments in accordance with the order terms and conditions.</t>
  </si>
  <si>
    <t>Order Validation</t>
  </si>
  <si>
    <t>Ability to ensure that a provided order satisfies the minimum level of requirements to place and settle.</t>
  </si>
  <si>
    <t>Order Cancellation</t>
  </si>
  <si>
    <t>Ability to stop an order placement and settlement based on a party request or order exception criteria.</t>
  </si>
  <si>
    <t>Order Orchestration</t>
  </si>
  <si>
    <t>Order Exception Management</t>
  </si>
  <si>
    <t>Ability to take an action (pre-defined) in case of order placement or settlement failure.</t>
  </si>
  <si>
    <t>Order Information Management</t>
  </si>
  <si>
    <t>Ability to organize, track, report on, or otherwise disseminate attributes and data related to an order.</t>
  </si>
  <si>
    <t>Order Profile Management</t>
  </si>
  <si>
    <t>Order Type Management</t>
  </si>
  <si>
    <t>Ability to define and maintain the classification and categories of an order.</t>
  </si>
  <si>
    <t>Order State Management</t>
  </si>
  <si>
    <t>Ability to define and maintain the various conditions or state that an order is in at a specific time.</t>
  </si>
  <si>
    <t>Order History Management</t>
  </si>
  <si>
    <t>Ability to record, retain, and retrieve order information changes over time.</t>
  </si>
  <si>
    <t>Order Analytics Management</t>
  </si>
  <si>
    <t>Ability to discover, interpret, and communicate meaningful patterns, metrics, measures, and thresholds from order information.</t>
  </si>
  <si>
    <t>Order Matching</t>
  </si>
  <si>
    <t>Ability to match buyers to sellers (or buy orders to sell orders) of market trades.</t>
  </si>
  <si>
    <t>Portfolio Management</t>
  </si>
  <si>
    <t>Investment Portfolio Model Management</t>
  </si>
  <si>
    <t>Collateral Management</t>
  </si>
  <si>
    <t>Ability to establish, organize, analyze, administer, and report on all aspects of property or other asset that a customer offers as security to a borrowing or lending agreement.</t>
  </si>
  <si>
    <t>Collateral Risk Management</t>
  </si>
  <si>
    <t>Ability to assess and account for potential harm to the business associated with a piece of collateral.</t>
  </si>
  <si>
    <t>Collateral Risk Determination</t>
  </si>
  <si>
    <t>Ability to assess exposures to harm, danger, or loss associated with collateral pledged as security.</t>
  </si>
  <si>
    <t>Collateral Insurance Management</t>
  </si>
  <si>
    <t>Ability to offset the risk or manage the offsetting of risk associated with a piece of collateral.</t>
  </si>
  <si>
    <t>Collateral Matching</t>
  </si>
  <si>
    <t>Collateral/Customer Matching</t>
  </si>
  <si>
    <t>Collateral/Product Matching</t>
  </si>
  <si>
    <t>Collateral/Channel Matching</t>
  </si>
  <si>
    <t>Collateral/Asset Matching</t>
  </si>
  <si>
    <t>Collateral/Policy Matching</t>
  </si>
  <si>
    <t>Collateral/Location Matching</t>
  </si>
  <si>
    <t>Collateral/Partner Matching</t>
  </si>
  <si>
    <t>Ability to match a piece of collateral to the partners that assist in the management of the collateral.</t>
  </si>
  <si>
    <t>Collateral/Message Matching</t>
  </si>
  <si>
    <t>Collateral Information Management</t>
  </si>
  <si>
    <t>Ability to organize, track, report on, or otherwise disseminate basic attributes, data, and other perspectives about a piece of collateral.</t>
  </si>
  <si>
    <t>Collateral Profile Management</t>
  </si>
  <si>
    <t>Ability to define and maintain the information attributes (metadata) of a piece of collateral.</t>
  </si>
  <si>
    <t>Collateral Type Management</t>
  </si>
  <si>
    <t>Ability to define and maintain the classification and categories of a piece of collateral.</t>
  </si>
  <si>
    <t>Collateral State Management</t>
  </si>
  <si>
    <t>Ability to define and maintain the various conditions or state that a piece of collateral is in at a specific time.</t>
  </si>
  <si>
    <t>Collateral History Management</t>
  </si>
  <si>
    <t>Ability to record, retain, and retrieve collateral information changes over time.</t>
  </si>
  <si>
    <t>Collateral Analytics Management</t>
  </si>
  <si>
    <t>Ability to discover, interpret, and communicate meaningful patterns, metrics, measures, and thresholds from collateral information.</t>
  </si>
  <si>
    <t>Financial Instrument Management</t>
  </si>
  <si>
    <t>Financial Instrument Information Management</t>
  </si>
  <si>
    <t>Ability to organize, track, report on, or otherwise disseminate attributes and data related to a financial instrument.</t>
  </si>
  <si>
    <t>Financial Instrument Profile Management</t>
  </si>
  <si>
    <t>Ability to define and maintain the information attributes (metadata) of a financial instrument.</t>
  </si>
  <si>
    <t>Financial Instrument Type Management</t>
  </si>
  <si>
    <t>Ability to define and maintain the classification and categories of a financial instrument.</t>
  </si>
  <si>
    <t>Financial Instrument State Management</t>
  </si>
  <si>
    <t>Ability to define and maintain the various conditions or state that a financial instrument is in at a specific time.</t>
  </si>
  <si>
    <t>Financial Instrument History Management</t>
  </si>
  <si>
    <t>Ability to record, retain, and retrieve financial instrument information changes over time.</t>
  </si>
  <si>
    <t>Financial Instrument Analytics Management</t>
  </si>
  <si>
    <t>Ability to discover, interpret, and communicate meaningful patterns, metrics, measures, and thresholds from financial instrument information.</t>
  </si>
  <si>
    <t>Financial Instrument Valuation</t>
  </si>
  <si>
    <t>Ability to determine and assign the monetary worth of a financial instrument, including mark-to-market and other valuation mechanisms at a point in time.</t>
  </si>
  <si>
    <t>Financial Instrument Matching</t>
  </si>
  <si>
    <t>Ability to match financial instruments with other business objects.</t>
  </si>
  <si>
    <t>Ability to research, gather, analyze, and disseminate financial instrument market information in order to develop insights and opinions on impacts to financial instruments.</t>
  </si>
  <si>
    <t>Financial Instrument Custodial Management</t>
  </si>
  <si>
    <t xml:space="preserve">Ability to hold financial instruments in safekeeping on behalf of a third party. </t>
  </si>
  <si>
    <t>Financial Instrument Corporate Action Management</t>
  </si>
  <si>
    <t>Ability to administer the correct allocation of entitlements to a customer arising from corporate actions of financial instruments.</t>
  </si>
  <si>
    <t>Product Manager</t>
  </si>
  <si>
    <t>Investor</t>
  </si>
  <si>
    <t>Broker-Dealer</t>
  </si>
  <si>
    <t>Investment Manager</t>
  </si>
  <si>
    <t>Acquire Asset</t>
  </si>
  <si>
    <t>The end-to-end perspective of acquiring an asset, from initiating and approving the asset request, to sourcing and processing procurement orders and delivering the asset to the requester.</t>
  </si>
  <si>
    <t>Conduct Audit</t>
  </si>
  <si>
    <t>The end-to-end perspective of determining the degree to which the organization is adhering to established policies and regulations.</t>
  </si>
  <si>
    <t>The end-to-end perspective of planning and executing a program.</t>
  </si>
  <si>
    <t>Disseminate Information</t>
  </si>
  <si>
    <t>Ensure Compliance</t>
  </si>
  <si>
    <t>Execute Campaign</t>
  </si>
  <si>
    <t>Onboard Human Resource</t>
  </si>
  <si>
    <t>The end-to-end perspective of deciding where to make investments, based on the understanding of the enterprise's goals, strategy, current positions, and external forces.</t>
  </si>
  <si>
    <t>Report Financials</t>
  </si>
  <si>
    <t>Internal</t>
  </si>
  <si>
    <t>Account Manager</t>
  </si>
  <si>
    <t>An Account Manager is a person who is responsible for the management of a collection of customer or client relationships, typically focusing on customer and client acquisition and retention strategies.</t>
  </si>
  <si>
    <t>Authorized Representative</t>
  </si>
  <si>
    <t>Channel Manager</t>
  </si>
  <si>
    <t>Collateral Appraiser</t>
  </si>
  <si>
    <t xml:space="preserve">A Collateral Appraiser is a licensed or certified appraiser who provides a valuation for collateral used to secure a loan. </t>
  </si>
  <si>
    <t>Communications Consultant</t>
  </si>
  <si>
    <t>External</t>
  </si>
  <si>
    <t>Credit Agency</t>
  </si>
  <si>
    <t>Credit Risk Analyst</t>
  </si>
  <si>
    <t xml:space="preserve">A Credit Risk Analyst is a person who evaluates the credit risks of a transaction and determines whether credit should be extended to the requesting party. </t>
  </si>
  <si>
    <t>Customer</t>
  </si>
  <si>
    <t>Customer Service Advisor</t>
  </si>
  <si>
    <t xml:space="preserve">A Customer Service Advisor is a person who assists with resolving inquiries regarding an individual transaction in progress or an established agreement. </t>
  </si>
  <si>
    <t>Delivery Manager</t>
  </si>
  <si>
    <t>Financial Controller</t>
  </si>
  <si>
    <t>Financial Instrument Analyst</t>
  </si>
  <si>
    <t>Financial Instrument Sales Advisor</t>
  </si>
  <si>
    <t>Financial Planner</t>
  </si>
  <si>
    <t>Insurance Agent</t>
  </si>
  <si>
    <t xml:space="preserve">An Investor is a person or organization that commits capital with the expectation of financial returns. </t>
  </si>
  <si>
    <t>Legal Counsel</t>
  </si>
  <si>
    <t>Market Maker</t>
  </si>
  <si>
    <t>A Market Maker is a broker-dealer firm that assumes the risk of holding a certain number of shares of a particular security in order to facilitate the trading of that security.</t>
  </si>
  <si>
    <t>Marketing Manager</t>
  </si>
  <si>
    <t>A Marketing Manager is a manager whose primary task is to manage the marketing resources of a product or business.</t>
  </si>
  <si>
    <t>Notary</t>
  </si>
  <si>
    <t>Partner</t>
  </si>
  <si>
    <t>A Product Manager is a person who manages the development of products and services for an organization, performing activities such as market analysis, competitive analysis, maintaining product roadmaps, and managing product launch from ideation to development and deployment.</t>
  </si>
  <si>
    <t>Product Specialist</t>
  </si>
  <si>
    <t>A Product Specialist is a person who possesses deep knowledge of a product or product line and can determine appropriateness for individual customers.</t>
  </si>
  <si>
    <t>Project/Program Manager</t>
  </si>
  <si>
    <t>A Project/Program Manager is a person in charge of the planning and execution of a particular project or program.</t>
  </si>
  <si>
    <t>Public Records Administrator</t>
  </si>
  <si>
    <t>Quality Assurance Analyst</t>
  </si>
  <si>
    <t>A Quality Assurance Analyst is responsible for applying the principles and practices of software quality assurance to thoroughly test software changes throughout the development life cycle.</t>
  </si>
  <si>
    <t>Real Estate Agent</t>
  </si>
  <si>
    <t>A Real Estate Agent is a licensed professional who represents buyers or sellers in real estate transactions.</t>
  </si>
  <si>
    <t>Risk Officer</t>
  </si>
  <si>
    <t xml:space="preserve">Security Trader </t>
  </si>
  <si>
    <t>A Security Trading Organization is an organization involved in trading, market-making, and subsequent operations.</t>
  </si>
  <si>
    <t>Stock Exchange Broker</t>
  </si>
  <si>
    <t>Trading Specialist</t>
  </si>
  <si>
    <t>Trainer</t>
  </si>
  <si>
    <t>Trust Bank (Custodian)</t>
  </si>
  <si>
    <t>Organization Map</t>
  </si>
  <si>
    <t>Financial Services Enterprise</t>
  </si>
  <si>
    <t>Bank Segments</t>
  </si>
  <si>
    <t>Encompasses the various areas in which customers can interact with a Financial Services Organization.</t>
  </si>
  <si>
    <t>Retail/Personal Banking</t>
  </si>
  <si>
    <t xml:space="preserve">Handles the administering of products and services to individual consumers. </t>
  </si>
  <si>
    <t>Sales and Operations</t>
  </si>
  <si>
    <t>Handles client relationship management and the processing of a product lifecycle from initiation of an application through funding.</t>
  </si>
  <si>
    <t>Credit Office</t>
  </si>
  <si>
    <t xml:space="preserve">Handles the decisioning of credit product offerings to an organization's client. </t>
  </si>
  <si>
    <t>Product Office</t>
  </si>
  <si>
    <t>Supports the objectives regarding investment mix and policy, including balancing risk against performance.</t>
  </si>
  <si>
    <t>Support Services</t>
  </si>
  <si>
    <t xml:space="preserve">Handles the back-office support of a channel including call centers, mail centers, systems support, and process support. </t>
  </si>
  <si>
    <t>Commercial/Wholesale Banking</t>
  </si>
  <si>
    <t xml:space="preserve">Handles the administering of products and services to commercial clients, businesses, and business owners. </t>
  </si>
  <si>
    <t>Capital Markets</t>
  </si>
  <si>
    <t>Derivative Markets Services</t>
  </si>
  <si>
    <t>Supports the financial market for financial instruments which are derived from other forms of assets.</t>
  </si>
  <si>
    <t>Foreign Exchange Services</t>
  </si>
  <si>
    <t>Supports the exchange of one currency for another where currencies are traded around the clock.</t>
  </si>
  <si>
    <t>Fixed Income Services</t>
  </si>
  <si>
    <t>Supports the investment under which the issuer is obliged to make payments of a fixed amount on a fixed schedule (includes bonds).</t>
  </si>
  <si>
    <t>Financial Institution Services</t>
  </si>
  <si>
    <t>Supports the economic services provided by the organization.</t>
  </si>
  <si>
    <t>Enterprise Portfolio Management</t>
  </si>
  <si>
    <t>Supports the objectives regarding investment mix and policy, including balancing risk against performance at an enterprise level.</t>
  </si>
  <si>
    <t>Handles the forecasting and evaluation of financial risks and the identification of needed remediation efforts to reduce impact to the organization.</t>
  </si>
  <si>
    <t>Asset and Liability Management</t>
  </si>
  <si>
    <t>Handles managing the use of assets and cash flows to meet company obligations, which reduces the organization's risk of loss due to not paying a liability on time.</t>
  </si>
  <si>
    <t>Wealth Management</t>
  </si>
  <si>
    <t xml:space="preserve">Handles the administering of products and services to individual consumers pertaining to financial and investment advice, retirement planning, and legal and estate planning. </t>
  </si>
  <si>
    <t>Handles the back-office support of a channel including call centers, mail centers, systems support, and process support.</t>
  </si>
  <si>
    <t>Risk Management</t>
  </si>
  <si>
    <t>Compliance</t>
  </si>
  <si>
    <t>Corporate Insurance</t>
  </si>
  <si>
    <t xml:space="preserve">Ensures that an organization is protected against risk and exposure. </t>
  </si>
  <si>
    <t>Business Continuity</t>
  </si>
  <si>
    <t>Handles planning and preparation to ensure an organization can continue to operate in the event of a serious incident or disaster, ensuring the ability to recover to an operational state within a reasonably short period.</t>
  </si>
  <si>
    <t>Enterprise Risk Management</t>
  </si>
  <si>
    <t>Security</t>
  </si>
  <si>
    <t>Ensures that an organization has taken precautions against danger or threat.</t>
  </si>
  <si>
    <t>Information Security</t>
  </si>
  <si>
    <t>Manages the protection against unauthorized use of information.</t>
  </si>
  <si>
    <t>Fraud Management</t>
  </si>
  <si>
    <t>Manages the screening of transaction activity across users, agreements, financial accounts, processes, and channels to identify and prevent internal and external fraud within an organization.</t>
  </si>
  <si>
    <t>Cyber Security</t>
  </si>
  <si>
    <t>Manages the measures to protect networks, computers, programs, and data from attack, damage or unauthorized access.</t>
  </si>
  <si>
    <t>Corporate Functions</t>
  </si>
  <si>
    <t>Handles the various areas necessary in a corporate structure.</t>
  </si>
  <si>
    <t>Legal</t>
  </si>
  <si>
    <t xml:space="preserve">Provides legal services for the organization by addressing legal risk and providing advice and counsel. </t>
  </si>
  <si>
    <t>Audit</t>
  </si>
  <si>
    <t xml:space="preserve">Conducts reviews to ensure that compliance criteria are met by the organization. </t>
  </si>
  <si>
    <t>Finance</t>
  </si>
  <si>
    <t>Handles the management of financial affairs for an organization.</t>
  </si>
  <si>
    <t>Supply Chain Management</t>
  </si>
  <si>
    <t>Handles the management of materials, information, and finances as they move from supplier to consumer.</t>
  </si>
  <si>
    <t>Human Resources</t>
  </si>
  <si>
    <t>Manages the personnel of the organization, including the hiring, administration, and training of personnel.</t>
  </si>
  <si>
    <t>Shared Services</t>
  </si>
  <si>
    <t>Handles the provision of services to more than one part of the organization, effectively becoming an internal service provider.</t>
  </si>
  <si>
    <t>Corporate Communications</t>
  </si>
  <si>
    <t>Supports the management and orchestration of all internal and external communications for an organization.</t>
  </si>
  <si>
    <t>Marketing</t>
  </si>
  <si>
    <t>Handles the promotion and selling of products or services, including market research and advertising.</t>
  </si>
  <si>
    <t>Mergers and Acquisitions</t>
  </si>
  <si>
    <t>Non-Strategic Asset Management</t>
  </si>
  <si>
    <t>Realty Services</t>
  </si>
  <si>
    <t>Handles the management of the owned and leased real estate portfolio of the organization.</t>
  </si>
  <si>
    <t>Treasury Management</t>
  </si>
  <si>
    <t>Handles the management of an organization's holdings with the goal of managing liquidity and mitigating risk.</t>
  </si>
  <si>
    <t>Information Technology</t>
  </si>
  <si>
    <t>Handles the management of systems (via computers and telecommunications) for storing, retrieving, and sending information.</t>
  </si>
  <si>
    <t>Technology and Innovation Services</t>
  </si>
  <si>
    <t>Supports the process of introducing new ideas, devices, or methods.</t>
  </si>
  <si>
    <t>Technology Services</t>
  </si>
  <si>
    <t>Supports the use of specialized technology-oriented solutions by combining process and functions of software, hardware, networks, telecommunications, and electronics.</t>
  </si>
  <si>
    <t>Technology and Operations Services</t>
  </si>
  <si>
    <t>Handles the processes and services that are both provisioned by an IT staff to their internal or external clients and used by themselves to run themselves as a business.</t>
  </si>
  <si>
    <t>Human Resource</t>
  </si>
  <si>
    <t xml:space="preserve">An Authorized Representative is a person who has the authority to establish a new agreement and ensure it complies with company policy. </t>
  </si>
  <si>
    <t>A Broker-Dealer is a brokerage firm that buys and sells securities on its own agreement as a principal before selling the securities to customers.</t>
  </si>
  <si>
    <t xml:space="preserve">A Channel Manager is a person who manages the operations, including the production and supply of a channel of distribution. </t>
  </si>
  <si>
    <t>Human Resource, Partner</t>
  </si>
  <si>
    <t>A Communications Consultant is a person who provides advice and participates in the development of communication plans and strategies, messaging, and associated media.</t>
  </si>
  <si>
    <t>A Compliance or Risk Officer is a person tasked with assessing and mitigating significant competitive, regulatory, and technological threats to an enterprise’s capital and earnings.</t>
  </si>
  <si>
    <t xml:space="preserve">A Credit Agency is a company that collects payment history and information related to credit ratings of individuals as well as provides this service to financial institutions for credit evaluation. </t>
  </si>
  <si>
    <t>Financial Account Holder</t>
  </si>
  <si>
    <t>A Financial Account Holder is an individual or legal entity who has, plans to have, or had an agreement in place for a savings, checking, or related financial account.</t>
  </si>
  <si>
    <t xml:space="preserve">A Delivery Manager manages the development and launch of new products or services for a channel from idea to deployment, including post-deployment success. </t>
  </si>
  <si>
    <t xml:space="preserve">A Financial Controller is a person who is responsible for accounting activities and overseeing financial reporting, including balance sheets and revenue models. </t>
  </si>
  <si>
    <t>A Financial Planner is a qualified investment professional who provides a service to help individuals and corporations meet their long-term financial objectives by analyzing the client’s status and setting a program to achieve that client’s goals.</t>
  </si>
  <si>
    <t>An Insurance Agent is an individual licensed by a state to sell insurance for one or more specific insurance companies, transferring the cost of potential loss to another entity in exchange for monetary compensation known as the premium.</t>
  </si>
  <si>
    <t xml:space="preserve">An Investment Manager (also known as a Fund Manager or Portfolio Manager) is responsible for determining the strategy and investment portfolio as well as managing the assets to generate revenue and wealth for the organization. </t>
  </si>
  <si>
    <t>IT Engineer</t>
  </si>
  <si>
    <t>An IT Engineer is responsible for the development and maintenance of all layers of systems within an organization, from the physical hardware to the operating systems, applications, databases, storage, and servers.</t>
  </si>
  <si>
    <t xml:space="preserve">A Legal Counsel is a person who is legally qualified and licensed to represent an organization in a legal matter, such as law suits, policy formations, contract negotiation, and patent activities. </t>
  </si>
  <si>
    <t>A Notary is a public officer who administers oaths and affirmations, takes affidavits and statutory declarations, witnesses and authenticates the execution of certain classes of documents, takes acknowledgments of deeds and other conveyances, and performs other official acts depending on the jurisdiction.</t>
  </si>
  <si>
    <t>Operations Analyst</t>
  </si>
  <si>
    <t>An Operations Analyst is a person who helps define the overall workflow as well as executes and manages the daily operations to fulfill the products and services of an organization.</t>
  </si>
  <si>
    <t>Agent</t>
  </si>
  <si>
    <t>Regulator</t>
  </si>
  <si>
    <t xml:space="preserve">A Public Records Administrator maintains documents and information that is determined to be public information (e.g., property/land registry), and makes that accessible to the general public. </t>
  </si>
  <si>
    <t>Regulatory Auditor</t>
  </si>
  <si>
    <t xml:space="preserve">A Regulatory Auditor is responsible for developing, implementing, and enforcing regulations that govern financial transactions. </t>
  </si>
  <si>
    <t>A Risk Officer is a person responsible for identifying, analyzing, and mitigating internal and external events that could threaten a company.</t>
  </si>
  <si>
    <t>A Stock Exchange Broker is a regulated professional who executes buy and sell orders for stocks and other securities through a stock market (or over the counter) for a fee or commission.</t>
  </si>
  <si>
    <t>Strategist</t>
  </si>
  <si>
    <t>A Strategist is responsible for evaluating both the internal and external environment and providing advice to an organization to help achieve their strategic business priorities.</t>
  </si>
  <si>
    <t>A Trading Specialist is a member of a stock exchange who places the trade with the Market Maker to facilitate the trading of a given stock.</t>
  </si>
  <si>
    <t xml:space="preserve">A Trainer is a person who acquires in-depth skills and knowledge in order to train an organization’s workers. </t>
  </si>
  <si>
    <t>A Trust Bank (Custodian) is a legal entity that acts as a fiduciary, agent, or trustee on behalf of a person or business entity for the purpose of administration, management, and the eventual transfer of assets to a beneficial party.</t>
  </si>
  <si>
    <t>Create Policy</t>
  </si>
  <si>
    <t xml:space="preserve">The publication of the new or modified policy and resources for the financial institutions, consumers, and other stakeholders to understand and comply with. </t>
  </si>
  <si>
    <t xml:space="preserve">The initiation of a policy creation or modification as a result of escalated concerns pertaining to the financial institution. </t>
  </si>
  <si>
    <t xml:space="preserve">The collection and analysis of data from case law studies, consumers, financial institutions, existing policies, and other sources related to the policy being created or modified. </t>
  </si>
  <si>
    <t xml:space="preserve">Initiate Policy  </t>
  </si>
  <si>
    <t>Formulate Policy</t>
  </si>
  <si>
    <t>Approve Policy</t>
  </si>
  <si>
    <t>Publish Policy</t>
  </si>
  <si>
    <t>Evaluate Policy</t>
  </si>
  <si>
    <t>Policy request initiated</t>
  </si>
  <si>
    <t>Policy request reviewed</t>
  </si>
  <si>
    <t>Compliance/Risk Officer, Legal Counsel, Regulatory Auditor</t>
  </si>
  <si>
    <t>Policy is initiated</t>
  </si>
  <si>
    <t>Policy is evaluated</t>
  </si>
  <si>
    <t>Compliance/Risk Officer, Customer, Legal Counsel, Regulatory Auditor, Regulator</t>
  </si>
  <si>
    <t>Policy data evaluation</t>
  </si>
  <si>
    <t xml:space="preserve">Policy is drafted </t>
  </si>
  <si>
    <t>Compliance/Risk Officer, Legal Counsel, Regulatory Auditor, Regulator</t>
  </si>
  <si>
    <t xml:space="preserve">Compliance/Risk Officer, Legal Counsel  </t>
  </si>
  <si>
    <t>Approved policy decision response</t>
  </si>
  <si>
    <t>Approved policy</t>
  </si>
  <si>
    <t>Published policy</t>
  </si>
  <si>
    <t>Compliance/Risk Officer</t>
  </si>
  <si>
    <t>Regulator, Compliance/Risk Officer, Legal Counsel, Customer</t>
  </si>
  <si>
    <t>Ability to determine if a brand is exceeding or falling short of an acceptable threshold of performance.</t>
  </si>
  <si>
    <t>Ability to associate a brand with a specific channel in order to reach a specific target audience or to enhance a brand's communication effectiveness.</t>
  </si>
  <si>
    <t>Ability to determine if the business entity is exceeding or falling short of an acceptable threshold of performance.</t>
  </si>
  <si>
    <t>Ability to determine if a campaign is exceeding or falling short of an acceptable threshold of performance.</t>
  </si>
  <si>
    <t>Ability to associate a campaign with a brand.</t>
  </si>
  <si>
    <t>Ability to associate investments with plans.</t>
  </si>
  <si>
    <t>Ability to associate investments with policies.</t>
  </si>
  <si>
    <t>Ability to determine, modify, and interpret the category or classification of the market information.</t>
  </si>
  <si>
    <t>Ability to determine, modify, and interpret the status or condition of the market information.</t>
  </si>
  <si>
    <t>Ability to associate messages with other messages.</t>
  </si>
  <si>
    <t>Ability to associate messages with policies.</t>
  </si>
  <si>
    <t>Ability to associate messages with programs.</t>
  </si>
  <si>
    <t>Ability to associate a message with a brand in order to convey or position an understanding of a product or service offering, the organization's beliefs and values, and about the people who work for the organization.</t>
  </si>
  <si>
    <t>Ability to associate messages with work items.</t>
  </si>
  <si>
    <t>Ability to associate messages with a customer.</t>
  </si>
  <si>
    <t>Ability to associate messages with channels.</t>
  </si>
  <si>
    <t>Ability to associate messages with assets.</t>
  </si>
  <si>
    <t>Ability to associate messages with products.</t>
  </si>
  <si>
    <t>Ability to associate messages with partners.</t>
  </si>
  <si>
    <t>Ability to associate messages with financial transactions.</t>
  </si>
  <si>
    <t>Ability to associate messages with financial accounts.</t>
  </si>
  <si>
    <t>Ability to associate messages with agreements.</t>
  </si>
  <si>
    <t>Ability to confirm plan has  resources and information to achieve stated goals based on running various scenarios to ensure plan outcomes.</t>
  </si>
  <si>
    <t>Ability to associate research with a program.</t>
  </si>
  <si>
    <t>Ability to associate research with a product.</t>
  </si>
  <si>
    <t>Ability to associate a strategy with a strategy.</t>
  </si>
  <si>
    <t>ABOUT THE BUSINESS ARCHITECTURE CONTENTS HEREIN</t>
  </si>
  <si>
    <t>Business Architecture Guild® represents that the business architecture content contained herein:
  • IS DELIVERED AS-IS WITH NO CLAIM OF WARRANTY
  • Is to be used at one’s own risk  
  • May be modified or augmented for use at one’s own discretion 
  • Is not intended to fully represent a complete business architecture perspective
  • Does not represent any specific tool import or export format 
  • May be updated by the Guild at any point in time to reflect evolution of the practice
  • Is not presented as being free from errors or omissions 
  • IS FOR INTERNAL USE ONLY AND NOT FOR DISTRIBUTION TO 3RD PARTIES</t>
  </si>
  <si>
    <t>Ability to verify and establish that an agreement is executed in accordance to the terms and conditions, preferences, policy, and good practice.</t>
  </si>
  <si>
    <t>Ability to associate an agreement with a customer.</t>
  </si>
  <si>
    <t>Ability to associate an agreement with one or more of the organization’s products.</t>
  </si>
  <si>
    <t>Ability to associate an agreement with one or more of the organization's partners.</t>
  </si>
  <si>
    <t>Ability to identify, describe, and analyze the appropriate market need for a new or enhanced channel.</t>
  </si>
  <si>
    <t>Ability to take the conceptualization of an idea about a channel while considering its predetermined specifications in order to define the channel's features and required standards of performance.</t>
  </si>
  <si>
    <t>Ability to determine if a channel is exceeding or falling short of an acceptable threshold of performance.</t>
  </si>
  <si>
    <t>Ability to evaluate and ascertain commonalities across a set of analytical information for channels.</t>
  </si>
  <si>
    <t>Customer Authentication and Authorization</t>
  </si>
  <si>
    <t>Ability to associate a customer with one or more products.</t>
  </si>
  <si>
    <t>Ability to associate one customer with another based on a relationship, including, for example, relationships among family members under a common agreement.</t>
  </si>
  <si>
    <t>Ability to associate a customer with a partner that has a formal or other type of relationship to that customer.</t>
  </si>
  <si>
    <t>Ability to associate a customer with an employee, where an employee may be assigned to a customer for a period of time, for example, personal banker or rehabilitation specialist.</t>
  </si>
  <si>
    <t>Ability to evaluate partner performance in supporting the business needs as input to possible optimization of their service delivery.</t>
  </si>
  <si>
    <t>Ability to associate partners with other business objects.</t>
  </si>
  <si>
    <t>Ability to associate a partner with a product or service offering of the organization or the partner organization products in the case of a joint venture or information dissemination.</t>
  </si>
  <si>
    <t>Ability to associate a partner with another partner of the organization to determine if conflicts, dependencies, synergies, or opportunities may exist for collaboration.</t>
  </si>
  <si>
    <t>Ability to associate partners with the channels they use.</t>
  </si>
  <si>
    <t>Ability to associate partners with the competencies they possess.</t>
  </si>
  <si>
    <t>Ability to identify, track, validate, report on, or otherwise administer descriptive information related to a partner.</t>
  </si>
  <si>
    <t>Ability to determine if a product is exceeding or falling short of an acceptable threshold of performance.</t>
  </si>
  <si>
    <t>Ability to associate a product with a defined strategy.</t>
  </si>
  <si>
    <t>Ability to associate a product with a brand.</t>
  </si>
  <si>
    <t>Ability to associate a product with an asset.</t>
  </si>
  <si>
    <t>Ability to associate a plan with a product deployment.</t>
  </si>
  <si>
    <t>Ability to consider and incorporate multiple risk factors to establish a consolidated perspective on financial risk.</t>
  </si>
  <si>
    <t>Ability to record and maintain both the monetary and non-monetary details associated with a financial transaction that assures its overall integrity.</t>
  </si>
  <si>
    <t>Ability to associate a policy with monetary aspects and resources.</t>
  </si>
  <si>
    <t>Ability to associate a strategy with monetary aspects and resources.</t>
  </si>
  <si>
    <t>Ability to identify and define the level of risk associated with an asset.</t>
  </si>
  <si>
    <t>Ability to identify and define the level of acceptable risk associated with an asset.</t>
  </si>
  <si>
    <t>Ability to match assets to locations, partners, work, or other assets.</t>
  </si>
  <si>
    <t>Ability to determine, modify, and interpret the category or classification of an asset.</t>
  </si>
  <si>
    <t>Ability to determine, modify, and interpret the status or condition of an asset.</t>
  </si>
  <si>
    <t>Ability to associate competency with a plan.</t>
  </si>
  <si>
    <t>Ability to associate competency with training.</t>
  </si>
  <si>
    <t>Ability to associate competency with another competency.</t>
  </si>
  <si>
    <t>Ability to determine if a facility is exceeding or falling short of an acceptable threshold of performance.</t>
  </si>
  <si>
    <t>Ability to identify and define the level of risk associated with a facility.</t>
  </si>
  <si>
    <t>Ability to associate a facility with constraining business objects.</t>
  </si>
  <si>
    <t>Ability to associate a facility with a location.</t>
  </si>
  <si>
    <t>Ability to associate a facility with a plan.</t>
  </si>
  <si>
    <t>Ability to associate a facility with a policy.</t>
  </si>
  <si>
    <t>Ability to associate a facility with another facility.</t>
  </si>
  <si>
    <t>Ability to identify, record, and represent a chronological order of events and actions associated with a facility.</t>
  </si>
  <si>
    <t>Ability to determine, assign, and enforce access of a human resource to a particular item such as a facility, locations, or information.</t>
  </si>
  <si>
    <t>Ability to determine security and accessibility levels to a particular item.</t>
  </si>
  <si>
    <t>Ability to characterize the preferences that are related to a human resource.</t>
  </si>
  <si>
    <t>Ability to understand the differences in preference patterns of a human resource.</t>
  </si>
  <si>
    <t>Ability to put into effect a plan or course of action to act upon the preferences associated with a human resource.</t>
  </si>
  <si>
    <t>Ability to associate human resources with other business objects.</t>
  </si>
  <si>
    <t>Ability to associate human resources with a job.</t>
  </si>
  <si>
    <t>Ability to associate human resources with other human resources.</t>
  </si>
  <si>
    <t>Ability to associate human resources with a defined competency.</t>
  </si>
  <si>
    <t>Ability to associate human resources with a location.</t>
  </si>
  <si>
    <t>Ability to associate human resources with research.</t>
  </si>
  <si>
    <t>Ability to associate human resources with a policy.</t>
  </si>
  <si>
    <t>Ability to associate human resources with a facility.</t>
  </si>
  <si>
    <t>Ability to associate human resources with an organizational structure.</t>
  </si>
  <si>
    <t>Ability to associate incidents with other incidents.</t>
  </si>
  <si>
    <t>Ability to associate incidents with policies.</t>
  </si>
  <si>
    <t>Ability to associate incidents with strategy.</t>
  </si>
  <si>
    <t>Ability to associate incidents with events.</t>
  </si>
  <si>
    <t>Ability to associate incidents with programs.</t>
  </si>
  <si>
    <t>Ability to associate incidents with branding.</t>
  </si>
  <si>
    <t>Ability to associate incidents with work items.</t>
  </si>
  <si>
    <t>Ability to associate incidents with customers.</t>
  </si>
  <si>
    <t>Ability to associate incidents with channels.</t>
  </si>
  <si>
    <t>Ability to associate incidents with assets.</t>
  </si>
  <si>
    <t>Ability to associate incidents with products.</t>
  </si>
  <si>
    <t>Ability to associate incidents with partners.</t>
  </si>
  <si>
    <t>Ability to associate incidents with financial transactions.</t>
  </si>
  <si>
    <t>Ability to associate incidents with financial accounts.</t>
  </si>
  <si>
    <t>Ability to associate incidents with an agreement.</t>
  </si>
  <si>
    <t>Ability to associate incidents with a legal proceeding.</t>
  </si>
  <si>
    <t>Ability to associate incidents with a human resource.</t>
  </si>
  <si>
    <t>Ability to associate incidents with an inquiry.</t>
  </si>
  <si>
    <t>Ability to determine, modify, and interpret the category or classification of an incident.</t>
  </si>
  <si>
    <t>Ability to determine, modify, and interpret the status or condition of an incident.</t>
  </si>
  <si>
    <t>Ability to interpret the degree of authority associated with a given point of access and allow or withdraw access based on the association between the degree of authority required and that of the accessor.</t>
  </si>
  <si>
    <t>Ability to allow or prevent individuals, organizations, and assets from viewing, using, modifying, or sharing information based on certain rules and defined authorizations of the accessing parties.</t>
  </si>
  <si>
    <t>Ability to understand imposed access rights limitations for given information.</t>
  </si>
  <si>
    <t>Ability to associate information with a particular policy or policies.</t>
  </si>
  <si>
    <t>Ability to find and incorporate an inquiry from a specified audience.</t>
  </si>
  <si>
    <t>Ability to associate an inquiry with policies.</t>
  </si>
  <si>
    <t>Ability to associate an inquiry with strategy.</t>
  </si>
  <si>
    <t>Ability to associate an inquiry with a human resource.</t>
  </si>
  <si>
    <t>Ability to associate an inquiry with an event.</t>
  </si>
  <si>
    <t>Ability to associate an inquiry with a program.</t>
  </si>
  <si>
    <t>Ability to associate an inquiry with branding.</t>
  </si>
  <si>
    <t>Ability to associate an inquiry with a work item.</t>
  </si>
  <si>
    <t>Ability to associate an inquiry with a customer.</t>
  </si>
  <si>
    <t>Ability to associate an inquiry with a channel.</t>
  </si>
  <si>
    <t>Ability to associate an inquiry with an asset.</t>
  </si>
  <si>
    <t>Ability to associate an inquiry with a product.</t>
  </si>
  <si>
    <t>Ability to associate an inquiry with a partner.</t>
  </si>
  <si>
    <t>Ability to associate an inquiry with a financial transaction.</t>
  </si>
  <si>
    <t>Ability to associate an inquiry with a financial account.</t>
  </si>
  <si>
    <t>Ability to associate an inquiry with an agreement.</t>
  </si>
  <si>
    <t>Ability to determine, modify, and interpret the category or classification of an inquiry.</t>
  </si>
  <si>
    <t>Ability to determine, modify, and interpret the status or condition of an inquiry.</t>
  </si>
  <si>
    <t>Ability to determine if a job is exceeding or falling short of an acceptable threshold of performance.</t>
  </si>
  <si>
    <t>Ability to identify and define the level of risk associated with a job.</t>
  </si>
  <si>
    <t>Ability to identify and define the level of acceptable risk associated with a job.</t>
  </si>
  <si>
    <t>Ability to associate a job with other aspects of the organization that are performed by, impacted by, or otherwise concerned with a job.</t>
  </si>
  <si>
    <t>Ability to associate a job with a policy.</t>
  </si>
  <si>
    <t>Ability to associate a job with an agreement.</t>
  </si>
  <si>
    <t>Ability to associate a job with a strategy.</t>
  </si>
  <si>
    <t>Ability to associate a job with a plan.</t>
  </si>
  <si>
    <t>Ability to associate a job with a location.</t>
  </si>
  <si>
    <t>Ability to associate a job with a defined competency.</t>
  </si>
  <si>
    <t>Ability to associate a legal proceeding with a human resource.</t>
  </si>
  <si>
    <t>Ability to identify, establish, validate, and articulate metrics and measures on historic and predictive determinations for one or more legal proceedings.</t>
  </si>
  <si>
    <t>Ability to identify and define the level of risk associated with a location.</t>
  </si>
  <si>
    <t>Ability to identify and define the level of acceptable risk associated with a location.</t>
  </si>
  <si>
    <t>Ability to identify that a given location and a target location are the same.</t>
  </si>
  <si>
    <t>Ability to bound the range of activities and concerns addressed by the program, and the ability to constrain the program to operate within that boundary.</t>
  </si>
  <si>
    <t>Ability to identify and define the level of risk associated with a program.</t>
  </si>
  <si>
    <t>Ability to identify and define the level of acceptable risk associated with a program.</t>
  </si>
  <si>
    <t>Ability to determine if a program is exceeding or falling short of an acceptable threshold of performance.</t>
  </si>
  <si>
    <t>Ability to associate program-related objects with other business objects.</t>
  </si>
  <si>
    <t>Ability to associate training-related objects with other business objects.</t>
  </si>
  <si>
    <t>Ability to determine, modify, and interpret the category or classification of training.</t>
  </si>
  <si>
    <t>Ability to determine, modify, and interpret the status or condition of training.</t>
  </si>
  <si>
    <t>Ability to identify, record, and represent a chronological order of events and actions associated with training.</t>
  </si>
  <si>
    <t>Ability to identify and associate a work item with a required skill or skills required for its delivery.</t>
  </si>
  <si>
    <t>Ability to associate a work item with a particular person or people.</t>
  </si>
  <si>
    <t>Ability to associate a work item with a work queue.</t>
  </si>
  <si>
    <t>Ability to associate a work item with a channel for its production and delivery.</t>
  </si>
  <si>
    <t>Formulated policy</t>
  </si>
  <si>
    <t>Ability to establish and identify an agreement.</t>
  </si>
  <si>
    <t>Ability to ensure that an agreement conforms to internal and external policies as well as the intentions of the parties.</t>
  </si>
  <si>
    <t>Ability to cancel or end an agreement in compliance with the terms of an agreement.</t>
  </si>
  <si>
    <t>Ability to identify, evaluate, assess, aggregate, articulate, and incorporate various exposures to harm, danger, or loss associated with a given agreement or portfolio of agreements.</t>
  </si>
  <si>
    <t>Ability to define, control, authorize, grant, and otherwise control access to an agreement.</t>
  </si>
  <si>
    <t>Ability to control, authorize, or grant access by permitted parties to the rights and privileges allowed by an agreement.</t>
  </si>
  <si>
    <t>Agreement Portfolio Management</t>
  </si>
  <si>
    <t>Ability to articulate and evaluate the collective set of agreements with the intention of determining the value of, modifying, or optimizing the balance of that collective set of agreements.</t>
  </si>
  <si>
    <t>Agreement Portfolio Articulation</t>
  </si>
  <si>
    <t>Ability to evaluate the performance of the collective set of agreements as input to possible optimization of that portfolio.</t>
  </si>
  <si>
    <t>Ability to articulate and evaluate the collective set of agreements associated with a customer with the intention of determining the value of, modifying, or optimizing the balance of that collective set of customer-owned agreements.</t>
  </si>
  <si>
    <t>Ability to identify, assess, aggregate, articulate, and incorporate various exposures to harm, danger, or loss associated with a given partner or portfolio of partners.</t>
  </si>
  <si>
    <t>Ability to determine acceptable or unacceptable levels of performance for a competency.  </t>
  </si>
  <si>
    <t>Ability to consider a collective set of risk factors about a facility and represent them from a rationalized perspective.</t>
  </si>
  <si>
    <t>Collateral Valuation</t>
  </si>
  <si>
    <t>Asset Requester</t>
  </si>
  <si>
    <t>Request Asset</t>
  </si>
  <si>
    <t>The act of submitting a request for a new asset.</t>
  </si>
  <si>
    <t>Asset order initiated</t>
  </si>
  <si>
    <t>Asset order acknowledged</t>
  </si>
  <si>
    <t>Asset Requester, Procurement Team Member</t>
  </si>
  <si>
    <t>Approve Order</t>
  </si>
  <si>
    <t>Asset order approved</t>
  </si>
  <si>
    <t>Asset Requester, Business Manager, Procurement Manager, Finance Manager</t>
  </si>
  <si>
    <t>Source Order</t>
  </si>
  <si>
    <t>The act of evaluating and selecting the supplier for the asset.</t>
  </si>
  <si>
    <t>Supplier selected</t>
  </si>
  <si>
    <t>Asset Requester, Procurement Manager, Procurement Team Member, Supplier</t>
  </si>
  <si>
    <t>Place Order</t>
  </si>
  <si>
    <t>Asset order placed</t>
  </si>
  <si>
    <t>Procurement Team Member</t>
  </si>
  <si>
    <t>Receive Asset</t>
  </si>
  <si>
    <t>Asset received</t>
  </si>
  <si>
    <t>Supplier, Procurement Team Member, Asset Requester, Accountant</t>
  </si>
  <si>
    <t>Chief Risk Officer, External Regulator</t>
  </si>
  <si>
    <t>Request Audit</t>
  </si>
  <si>
    <t>The act of requesting an audit.</t>
  </si>
  <si>
    <t>Audit request initiated</t>
  </si>
  <si>
    <t>Audit request received</t>
  </si>
  <si>
    <t>Plan Audit</t>
  </si>
  <si>
    <t>Audit plan defined</t>
  </si>
  <si>
    <t xml:space="preserve">Auditor, Audited Business Team Members </t>
  </si>
  <si>
    <t>Gather Audit Information</t>
  </si>
  <si>
    <t>The act of discovering information pertinent to the audit scope.</t>
  </si>
  <si>
    <t>Audit information gathered</t>
  </si>
  <si>
    <t>Analyze Audit Information</t>
  </si>
  <si>
    <t>The act of evaluating the information needed for the audit.</t>
  </si>
  <si>
    <t>Audit information analyzed</t>
  </si>
  <si>
    <t>Document Audit Report</t>
  </si>
  <si>
    <t>The act of compiling the results of the audit.</t>
  </si>
  <si>
    <t>Audit report documented</t>
  </si>
  <si>
    <t>Auditor</t>
  </si>
  <si>
    <t>Publish Audit Report</t>
  </si>
  <si>
    <t>The act of publishing the audit.</t>
  </si>
  <si>
    <t>Audit report published</t>
  </si>
  <si>
    <t>Auditor, Chief Risk Officer, External Regulator</t>
  </si>
  <si>
    <t>Resources present,  logistics finalized</t>
  </si>
  <si>
    <t>Executive Sponsor</t>
  </si>
  <si>
    <t>Request Program</t>
  </si>
  <si>
    <t>The act of requesting the initiation of a program execution.</t>
  </si>
  <si>
    <t>Program request submitted</t>
  </si>
  <si>
    <t>Program request accepted</t>
  </si>
  <si>
    <t>Program Manager, Executive Sponsor</t>
  </si>
  <si>
    <t>Create Program Plan</t>
  </si>
  <si>
    <t>The act of defining the program plan, including program budget and schedule.</t>
  </si>
  <si>
    <t>Program plan created</t>
  </si>
  <si>
    <t>Approve Program Plan</t>
  </si>
  <si>
    <t>The act of approving the program plan.</t>
  </si>
  <si>
    <t>Program plan approved</t>
  </si>
  <si>
    <t>Executive Sponsor, Investment Committee</t>
  </si>
  <si>
    <t>Resource Program</t>
  </si>
  <si>
    <t>Program resources secured</t>
  </si>
  <si>
    <t>Program Manager</t>
  </si>
  <si>
    <t>Execute Program</t>
  </si>
  <si>
    <t>The act of performing the work defined in the program.</t>
  </si>
  <si>
    <t>Program execution completed</t>
  </si>
  <si>
    <t>Program Manager, Program Team Member, Executive Sponsor</t>
  </si>
  <si>
    <t>Finalize Program</t>
  </si>
  <si>
    <t>The act of evaluating program metrics and transferring ownership to the sponsoring organization(s).</t>
  </si>
  <si>
    <t xml:space="preserve">Signed program acceptance </t>
  </si>
  <si>
    <t>Program Manager, Program Team Member, Executive Sponsor, Sponsoring Team Member</t>
  </si>
  <si>
    <t>Deploy Asset</t>
  </si>
  <si>
    <t>The end-to-end perspective of evaluating, building, assembling, maintaining, and readying the asset for use to fill a need within an organization.</t>
  </si>
  <si>
    <t>Asset Requester, Partner, Asset Owner</t>
  </si>
  <si>
    <t>Receive Request</t>
  </si>
  <si>
    <t>The act of receiving the request for installation or maintenance of an asset.</t>
  </si>
  <si>
    <t>Asset request identified</t>
  </si>
  <si>
    <t>Asset request acknowledged</t>
  </si>
  <si>
    <t>Asset Requester, Asset Owner, Partner</t>
  </si>
  <si>
    <t>Validate Request</t>
  </si>
  <si>
    <t xml:space="preserve">Asset request accepted </t>
  </si>
  <si>
    <t>Asset request validated</t>
  </si>
  <si>
    <t>Asset Request Evaluator</t>
  </si>
  <si>
    <t>Evaluate Asset</t>
  </si>
  <si>
    <t>Asset performance and scope evaluated</t>
  </si>
  <si>
    <t>Asset Maintainer, Financial Analyst</t>
  </si>
  <si>
    <t>Configure Asset</t>
  </si>
  <si>
    <t>The act of initializing, setting up, creating, assembling, validating, or repairing asset in preparation for deployment.</t>
  </si>
  <si>
    <t>Asset scope of work identified</t>
  </si>
  <si>
    <t>Asset configured</t>
  </si>
  <si>
    <t>Asset ready for deployment</t>
  </si>
  <si>
    <t>Asset Maintainer, Tester, Asset User</t>
  </si>
  <si>
    <t>Activate Asset</t>
  </si>
  <si>
    <t>The act of making the asset ready for use and closing the request.</t>
  </si>
  <si>
    <t>Asset made available for use and request closed</t>
  </si>
  <si>
    <t>Asset Maintainer, Asset Requester, Asset User</t>
  </si>
  <si>
    <t>Human Resource, Manager</t>
  </si>
  <si>
    <t>Initiate Career Evaluation</t>
  </si>
  <si>
    <t>Career evaluation request initiated</t>
  </si>
  <si>
    <t>Career evaluation request received</t>
  </si>
  <si>
    <t>Evaluate Human Resource</t>
  </si>
  <si>
    <t>The act of assessing the individual's skills and abilities, identifying potential career opportunities, and defining development plans to support those opportunities.</t>
  </si>
  <si>
    <t>Career development plan identified</t>
  </si>
  <si>
    <t>Employee, Manager, Human Resource Analyst</t>
  </si>
  <si>
    <t>Develop Human Resource</t>
  </si>
  <si>
    <t>Career development plan executed</t>
  </si>
  <si>
    <t>Employee, Manager, Human Resource Analyst, Training Team Member, Mentor</t>
  </si>
  <si>
    <t>Transition Human Resource</t>
  </si>
  <si>
    <t>The act of transitioning the individual into the desired career opportunity, along with adjustment of compensation and rewards as needed.</t>
  </si>
  <si>
    <t>Career development achieved</t>
  </si>
  <si>
    <t>Requester</t>
  </si>
  <si>
    <t>Request Information</t>
  </si>
  <si>
    <t>The act of requesting information.</t>
  </si>
  <si>
    <t>Information request submitted</t>
  </si>
  <si>
    <t>Information request received and validated</t>
  </si>
  <si>
    <t>Requester, Data Analyst</t>
  </si>
  <si>
    <t>Source Information</t>
  </si>
  <si>
    <t>Information sources identified</t>
  </si>
  <si>
    <t>Data Analyst</t>
  </si>
  <si>
    <t>Process Information</t>
  </si>
  <si>
    <t>Information prepared and validated</t>
  </si>
  <si>
    <t>Package Information</t>
  </si>
  <si>
    <t>The act of preparing information for consumption.</t>
  </si>
  <si>
    <t>Information packaged</t>
  </si>
  <si>
    <t>Deliver Information</t>
  </si>
  <si>
    <t>The act of delivering information to requester.</t>
  </si>
  <si>
    <t>Information delivered to requester</t>
  </si>
  <si>
    <t>Data Analyst, Requester</t>
  </si>
  <si>
    <t>Identify Compliance Requirements</t>
  </si>
  <si>
    <t>The act of identifying compliance requirements, either through legislation research or business policy creation.</t>
  </si>
  <si>
    <t>Compliance need identified</t>
  </si>
  <si>
    <t>Compliance requirements documented</t>
  </si>
  <si>
    <t>Chief Risk Officer, External Regulator, Business Manager, Risk Manager</t>
  </si>
  <si>
    <t>Define Compliance Controls</t>
  </si>
  <si>
    <t>The act of analyzing compliance requirements and identifying safeguards and controls to be put in place to ensure compliance.</t>
  </si>
  <si>
    <t>Compliance controls defined</t>
  </si>
  <si>
    <t>Risk Manager</t>
  </si>
  <si>
    <t>Implement Compliance Controls</t>
  </si>
  <si>
    <t>Compliance controls implemented</t>
  </si>
  <si>
    <t>Validate Compliance Controls</t>
  </si>
  <si>
    <t>Compliance controls evaluated</t>
  </si>
  <si>
    <t>Report Compliance</t>
  </si>
  <si>
    <t>The act of reporting compliance to the regulatory bodies and business management.</t>
  </si>
  <si>
    <t>Compliance reported</t>
  </si>
  <si>
    <t>Risk Manager, Chief Risk Officer, External Regulator</t>
  </si>
  <si>
    <t>Campaign Requester</t>
  </si>
  <si>
    <t>Request Campaign</t>
  </si>
  <si>
    <t>Campaign need identified</t>
  </si>
  <si>
    <t>Campaign request received</t>
  </si>
  <si>
    <t>Campaign Requester, Product Manager</t>
  </si>
  <si>
    <t>Plan Campaign</t>
  </si>
  <si>
    <t>Campaign plan approved</t>
  </si>
  <si>
    <t>Design Campaign</t>
  </si>
  <si>
    <t>Campaign execution approved</t>
  </si>
  <si>
    <t>Campaign Requester, Campaign Resource</t>
  </si>
  <si>
    <t>Implement Campaign</t>
  </si>
  <si>
    <t>Campaign delivered to targets</t>
  </si>
  <si>
    <t>Campaign Resource, Campaign Target</t>
  </si>
  <si>
    <t>Evaluate Campaign</t>
  </si>
  <si>
    <t>Campaign results identified and analyzed</t>
  </si>
  <si>
    <t>A productive individual fills the identified need and is ready to contribute.</t>
  </si>
  <si>
    <t>Hiring Manager</t>
  </si>
  <si>
    <t>Request Position</t>
  </si>
  <si>
    <t>Recruitment requisition initiated</t>
  </si>
  <si>
    <t>Recruitment requisition acknowledged</t>
  </si>
  <si>
    <t>Hiring Manager, Recruiter</t>
  </si>
  <si>
    <t>Validate Position</t>
  </si>
  <si>
    <t>Position validated</t>
  </si>
  <si>
    <t>Source Individuals</t>
  </si>
  <si>
    <t>Candidate list established</t>
  </si>
  <si>
    <t>Hiring Manager, Recruiter, Candidate(s)</t>
  </si>
  <si>
    <t>Evaluate Individuals</t>
  </si>
  <si>
    <t>Finalize Acceptance</t>
  </si>
  <si>
    <t>Offer accepted/rejected</t>
  </si>
  <si>
    <t>Hiring Manager, Recruiter, Human Resource</t>
  </si>
  <si>
    <t>Onboard Individual</t>
  </si>
  <si>
    <t>Offer accepted</t>
  </si>
  <si>
    <t>Onboarding completed</t>
  </si>
  <si>
    <t>Company investments are optimal.</t>
  </si>
  <si>
    <t>Chief Executive Officer, Board</t>
  </si>
  <si>
    <t>Initiate Investment Review</t>
  </si>
  <si>
    <t>Investment review request initiated</t>
  </si>
  <si>
    <t>Investment review request received</t>
  </si>
  <si>
    <t>Chief Executive Officer, Board, Chief Financial Officer</t>
  </si>
  <si>
    <t>Assess Current Position</t>
  </si>
  <si>
    <t>Company current position analyzed</t>
  </si>
  <si>
    <t>Chief Financial Officer, Treasurer</t>
  </si>
  <si>
    <t>Investigate Investment Options</t>
  </si>
  <si>
    <t>Potential investment options identified</t>
  </si>
  <si>
    <t>Chief Financial Officer, Treasurer, Financial Analyst</t>
  </si>
  <si>
    <t>Investment options identified</t>
  </si>
  <si>
    <t>Chief Financial Officer, Treasurer, Chief Executive Officer, Board</t>
  </si>
  <si>
    <t>Investment options executed</t>
  </si>
  <si>
    <t>Chief Financial Officer</t>
  </si>
  <si>
    <t>Chief Financial Officer, Board</t>
  </si>
  <si>
    <t>Initiate Financial Statements Generation</t>
  </si>
  <si>
    <t>Financial statements request identified</t>
  </si>
  <si>
    <t>Financial statements request initiated</t>
  </si>
  <si>
    <t>Prepare Financial Statements</t>
  </si>
  <si>
    <t>Financial statement request initiated</t>
  </si>
  <si>
    <t>Finance Controller</t>
  </si>
  <si>
    <t>Approve Financial Statements</t>
  </si>
  <si>
    <t>Chief Financial Officer, Chief Executive Officer, Management, Board of Directors</t>
  </si>
  <si>
    <t>Release Financial Statements</t>
  </si>
  <si>
    <t>Chief Financial Officer, Finance Controller, Management, Investors</t>
  </si>
  <si>
    <t>File Financial Statements</t>
  </si>
  <si>
    <t>Chief Financial Officer, Regulatory Bodies</t>
  </si>
  <si>
    <t xml:space="preserve">Settle Accounts
</t>
  </si>
  <si>
    <t>Finalizing the payment exchange for goods or services rendered or planned to be rendered.</t>
  </si>
  <si>
    <t>Request Payment</t>
  </si>
  <si>
    <t>The act of sending or receiving the request for payment.</t>
  </si>
  <si>
    <t>Payment requirement</t>
  </si>
  <si>
    <t>Payment notice received</t>
  </si>
  <si>
    <t>Validate Payment Request</t>
  </si>
  <si>
    <t>The act of reconciling the request for payment with the goods or services.</t>
  </si>
  <si>
    <t>Received notice of payment requirement</t>
  </si>
  <si>
    <t>Payment request validated</t>
  </si>
  <si>
    <t>Exchange Funds</t>
  </si>
  <si>
    <t>The act of transferring funds to payment for goods or services.</t>
  </si>
  <si>
    <t>Payment transaction completed</t>
  </si>
  <si>
    <t>Update Financial Accounts</t>
  </si>
  <si>
    <t>The act of recording the exchange of funds in financial accounts.</t>
  </si>
  <si>
    <t>Account records updated</t>
  </si>
  <si>
    <t>Activities necessary for establishing a new or updating an existing agreement.</t>
  </si>
  <si>
    <t>Customer, Partner</t>
  </si>
  <si>
    <t>Identified requester with validated request</t>
  </si>
  <si>
    <t>Customer Service Advisor, Customer, Partner</t>
  </si>
  <si>
    <t>Identify Needs</t>
  </si>
  <si>
    <t>The act of assessing the needs of the customer in order to recommend the agreement.</t>
  </si>
  <si>
    <t>Identified requester with identified needs and identified agreement type</t>
  </si>
  <si>
    <t>Customer Service Advisor, Customer, Financial Planner, Product Specialist, Partner</t>
  </si>
  <si>
    <t>Collect Approval and Submission</t>
  </si>
  <si>
    <t>Identified agreement type and needs</t>
  </si>
  <si>
    <t>Information needed to establish or update agreement available</t>
  </si>
  <si>
    <t>Customer Service Advisor, Customer</t>
  </si>
  <si>
    <t>Evaluate Risk</t>
  </si>
  <si>
    <t>All information necessary to establish the agreement available</t>
  </si>
  <si>
    <t>Parties agree on and accept the risks of establishing or updating an agreement</t>
  </si>
  <si>
    <t>Customer Service Advisor, Risk Officer, Customer, Partner</t>
  </si>
  <si>
    <t>Activate Agreement</t>
  </si>
  <si>
    <t>The act of activating the requester’s agreement.</t>
  </si>
  <si>
    <t>Agreement activated or updated</t>
  </si>
  <si>
    <t>Customer Service Advisor, Partner</t>
  </si>
  <si>
    <t>Perform Post-activation Activities</t>
  </si>
  <si>
    <t>The act of performing any post-activation activities such as notifications, compliance verification, or quality assurance checks.</t>
  </si>
  <si>
    <t>Activated and current agreement slated for finalization</t>
  </si>
  <si>
    <t>Essential agreement finalization activities completed</t>
  </si>
  <si>
    <t>Customer, Customer Service Advisor, Channel Manager, Partner</t>
  </si>
  <si>
    <t>Develop and Launch Product</t>
  </si>
  <si>
    <t>Activities necessary for the introduction of a new or modified product.</t>
  </si>
  <si>
    <t>Conceptualize Product</t>
  </si>
  <si>
    <t>The act of envisioning and articulating a new or modified product based on market research, competitive analysis, customer input, and other insights.</t>
  </si>
  <si>
    <t>Business strategy or plan with an expressed need or idea for a product</t>
  </si>
  <si>
    <t>Product concept defined in accordance with business strategy</t>
  </si>
  <si>
    <t>Product Manager, Product Owner, Customer</t>
  </si>
  <si>
    <t>Market Test Product Concept</t>
  </si>
  <si>
    <t>The act of test marketing a product concept and establishing appropriate pricing and profitability models.</t>
  </si>
  <si>
    <t>Product concept defined</t>
  </si>
  <si>
    <t>Decision to proceed with product launch</t>
  </si>
  <si>
    <t>Product Manager, Delivery Channel Owner(s), Project/Program Manager, Marketing Manager, Financial Controller</t>
  </si>
  <si>
    <t>Design and Create Product</t>
  </si>
  <si>
    <t xml:space="preserve">The act of designing and creating the product and everything required to support it. </t>
  </si>
  <si>
    <t>Product ready for launch</t>
  </si>
  <si>
    <t>Product Manager, Delivery Channel Owner(s), Project/Program Manager, Marketing Manager</t>
  </si>
  <si>
    <t>Pilot Product</t>
  </si>
  <si>
    <t>The act of performing an initial small deployment of the product in order to mitigate risk, test, and verify.</t>
  </si>
  <si>
    <t>A product ready for launch</t>
  </si>
  <si>
    <t>Product Manager, Delivery Channel Owner, Project/Program Manager, Marketing Manager, Financial Controller</t>
  </si>
  <si>
    <t>Deploy Product</t>
  </si>
  <si>
    <t>The act of correcting any product deficiencies that were identified in the pilot deployment and fully deploying the product to all applicable delivery channels.</t>
  </si>
  <si>
    <t>A successful, fully launched product</t>
  </si>
  <si>
    <t>Product Manager, Delivery Channel Owner, Project/Program Manager, Marketing Manager</t>
  </si>
  <si>
    <t>Execute Transaction</t>
  </si>
  <si>
    <t>Activities involved in completing a transaction for an agreement.</t>
  </si>
  <si>
    <t>Initiate Transaction</t>
  </si>
  <si>
    <t>The act of requesting financial activity on an agreement.</t>
  </si>
  <si>
    <t>Request received to make a transaction</t>
  </si>
  <si>
    <t>Request accepted</t>
  </si>
  <si>
    <t>Validate Transaction Request</t>
  </si>
  <si>
    <t>Request received</t>
  </si>
  <si>
    <t>Request validated for processing</t>
  </si>
  <si>
    <t>Customer Service Advisor, Account Manager</t>
  </si>
  <si>
    <t>Identify Related Impacts</t>
  </si>
  <si>
    <t>The act of identifying all related effects of the transaction, including, for example, fees and charges.</t>
  </si>
  <si>
    <t>Transaction impacts identified</t>
  </si>
  <si>
    <t>Product Manager, Account Manager</t>
  </si>
  <si>
    <t>Perform Transaction</t>
  </si>
  <si>
    <t>The act of applying request changes to the agreement balance and calculating the new agreement balance.</t>
  </si>
  <si>
    <t>Transaction performed</t>
  </si>
  <si>
    <t>Customer Service Advisor, Financial Controller</t>
  </si>
  <si>
    <t>Notify Stakeholders</t>
  </si>
  <si>
    <t>The act of notifying all stakeholders of the transaction and related events.</t>
  </si>
  <si>
    <t>Agreement holder and all stakeholders notified</t>
  </si>
  <si>
    <t>Customer, Partner, Authorized Representative, Customer Service Advisor, Internal Stakeholder</t>
  </si>
  <si>
    <t>Verify Compliance</t>
  </si>
  <si>
    <t>The act of ensuring that processed transactions are recorded and retained in accordance with organization and regulatory policy.</t>
  </si>
  <si>
    <t>Transaction performed and all stakeholders notified</t>
  </si>
  <si>
    <t>All necessary transaction activities and compliance validation is complete</t>
  </si>
  <si>
    <t>Trade Financial Instrument</t>
  </si>
  <si>
    <t xml:space="preserve">The act of executing a financial instrument trade, including clearing and settlement. </t>
  </si>
  <si>
    <t>Initiate or Request Trade</t>
  </si>
  <si>
    <t>The act of making a request for trading a financial instrument.</t>
  </si>
  <si>
    <t>Trade request submitted and received</t>
  </si>
  <si>
    <t>Investor, Broker-Dealer</t>
  </si>
  <si>
    <t>Trade request initiated</t>
  </si>
  <si>
    <t>Validate Trade Request</t>
  </si>
  <si>
    <t xml:space="preserve">The act of verifying if the requested financial instrument is suitable for the investor according to established investment goals. </t>
  </si>
  <si>
    <t>Trade request validated</t>
  </si>
  <si>
    <t>Obtain Trade Quotes</t>
  </si>
  <si>
    <t xml:space="preserve">The act of obtaining all available quotes for the requested instrument exchange. </t>
  </si>
  <si>
    <t>Trade order quotes received</t>
  </si>
  <si>
    <t>Internal Firm, Broker-Dealer, Investment Manager</t>
  </si>
  <si>
    <t>Execute Trade Order</t>
  </si>
  <si>
    <t xml:space="preserve">The act of fulfilling (i.e., entering into an agreement with the counterparty to exchange the instrument) the trade order externally and matching to the investment trade agreements. </t>
  </si>
  <si>
    <t>Trade order submitted</t>
  </si>
  <si>
    <t>Trade order confirmed</t>
  </si>
  <si>
    <t>Broker-Dealer, Security Trading Organization, Stock Exchange Broker, Market Maker</t>
  </si>
  <si>
    <t>Settle Trade</t>
  </si>
  <si>
    <t>The act of exchanging the agreed-upon financial instruments and verifying that the trade was done in accordance with all policies, regulations, and procedures.</t>
  </si>
  <si>
    <t>Trade settled between stakeholders (cleared)</t>
  </si>
  <si>
    <t>Broker-Dealer, Investor, Trust Bank (Custodian)</t>
  </si>
  <si>
    <t>Resolve Issue or Inquiry</t>
  </si>
  <si>
    <t>Activities necessary to track and resolve an issue or exception reported by a customer or other stakeholder.</t>
  </si>
  <si>
    <t>External Stakeholder or Internal Stakeholder</t>
  </si>
  <si>
    <t>Identify or report issue or inquiry</t>
  </si>
  <si>
    <t xml:space="preserve">The act of gathering all the known details of the exception/issue for the purpose of tracking and reporting through to resolution. </t>
  </si>
  <si>
    <t>An issue has been reported or an inquiry has been received</t>
  </si>
  <si>
    <t>Issue identified and recorded</t>
  </si>
  <si>
    <t>Customer Service Representative</t>
  </si>
  <si>
    <t>Classify, Investigate, and Determine Cause</t>
  </si>
  <si>
    <t>The act of classifying and investigating the issue in order to determine the root cause.</t>
  </si>
  <si>
    <t>An identified and recorded case</t>
  </si>
  <si>
    <t>Root cause of the issue identified</t>
  </si>
  <si>
    <t>Customer Service Representative, Channel Manager, Product Manager</t>
  </si>
  <si>
    <t>Resolve</t>
  </si>
  <si>
    <t xml:space="preserve">The act of formulating and applying a course of action to correct or offset the effects of the issue. </t>
  </si>
  <si>
    <t>An issue with an identified cause</t>
  </si>
  <si>
    <t>Issue corrected</t>
  </si>
  <si>
    <t>Notify Stakeholder(s)</t>
  </si>
  <si>
    <t>The act of notifying all stakeholders of the status and resolution of the issue.</t>
  </si>
  <si>
    <t>Corrected issue</t>
  </si>
  <si>
    <t>Stakeholders notified and satisfied</t>
  </si>
  <si>
    <t>Initiating Stakeholder, Customer Service Representative</t>
  </si>
  <si>
    <t>Prevent Recurrence</t>
  </si>
  <si>
    <t>The act of making any changes to products and/or operational processes in order to prevent (or at least reduce the likelihood) of a recurrence of the issue or similar issues.</t>
  </si>
  <si>
    <t>Corrected issue and stakeholders notified and satisfied</t>
  </si>
  <si>
    <t>Corrective actions to prevent future occurrence</t>
  </si>
  <si>
    <t>Collateral Validation</t>
  </si>
  <si>
    <t>Collateral Access Management</t>
  </si>
  <si>
    <t>Collateral Access Constraints Definition</t>
  </si>
  <si>
    <t>Collateral Access Constraints Interpretation</t>
  </si>
  <si>
    <t>Collateral Access Enforcement</t>
  </si>
  <si>
    <t>Ability to define, control, authorize, grant, and otherwise control access to collateral.</t>
  </si>
  <si>
    <t>Ability to unambiguously define the  restrictions, limitations, and permissions of collateral in a way that can be efficiently and effectively  interpreted and enforced.</t>
  </si>
  <si>
    <t>Ability to understand the restrictions, limitations, and permissions of collateral and apply them in a specific situation.</t>
  </si>
  <si>
    <t>Ability to control, authorize, or grant access by permitted parties to the rights and privileges allowed by collateral.</t>
  </si>
  <si>
    <t>Ability to assess and determine the monetary worth of collateral.</t>
  </si>
  <si>
    <t>Investment Portfolio Management</t>
  </si>
  <si>
    <t>Investment Portfolio Valuation</t>
  </si>
  <si>
    <t>Investment Portfolio Allocation Determination</t>
  </si>
  <si>
    <t>Investment Portfolio Risk Determination</t>
  </si>
  <si>
    <t>Investment Portfolio Diversification</t>
  </si>
  <si>
    <t>Investment Portfolio Performance Measurement</t>
  </si>
  <si>
    <t>Investment Portfolio Matching</t>
  </si>
  <si>
    <t>Establish Financial Agreement</t>
  </si>
  <si>
    <t>Ability to collect, organize, monitor, report on, or otherwise disseminate basic facts, statistics, attributes, and data about the investment.</t>
  </si>
  <si>
    <t>Ability to determine, modify, and interpret the category or classification of an investment.</t>
  </si>
  <si>
    <t>Ability to determine, modify, and interpret the status or condition of an investment.</t>
  </si>
  <si>
    <t>Ability to identify, establish, validate, and articulate metrics and measures on historic and predictive determinations for one or more investments.</t>
  </si>
  <si>
    <t>Ability to constrain the range of a message to, for example, a desired audience or market.</t>
  </si>
  <si>
    <t>Ability to associate a customer with one or more channels by which the customer is choosing to communicate with, or is allocated to communicate with, the organization.</t>
  </si>
  <si>
    <t>Ability to associate a product with a given distribution or other type of channel.</t>
  </si>
  <si>
    <t>Finance Profile Management</t>
  </si>
  <si>
    <t>Finance Type Management</t>
  </si>
  <si>
    <t>Ability to define and maintain the classification and categories of a business's finance.</t>
  </si>
  <si>
    <t>Finance State Management</t>
  </si>
  <si>
    <t>Ability to define and maintain the various conditions or state that apply to finance.</t>
  </si>
  <si>
    <t>Finance History Management</t>
  </si>
  <si>
    <t>The act of validating that the asset request meets the procurement, financial, and business justification criteria.</t>
  </si>
  <si>
    <t>The act of placing a procurement order to acquire the asset.</t>
  </si>
  <si>
    <t>The act of fulfilling the order, receiving the asset, and accounting for the asset.</t>
  </si>
  <si>
    <t>The company's compliance is evaluated and any corrective or disciplinary measures are identified.</t>
  </si>
  <si>
    <t>The act of identifying the audit scope and execution plan.</t>
  </si>
  <si>
    <t>Business Architecture Mapping Inventory</t>
  </si>
  <si>
    <t>Brand/Policy Matching</t>
  </si>
  <si>
    <t>Brand/Channel Matching</t>
  </si>
  <si>
    <t>Brand/Facility Matching</t>
  </si>
  <si>
    <t>Brand/Partner Matching</t>
  </si>
  <si>
    <t>Brand/Message Matching</t>
  </si>
  <si>
    <t>Brand/Intellectual Property Matching</t>
  </si>
  <si>
    <t>Ability to collect, process, and disseminate information associated with an enterprise and its ecosystem.</t>
  </si>
  <si>
    <t>Campaign/Strategy Matching</t>
  </si>
  <si>
    <t>Campaign/Program Matching</t>
  </si>
  <si>
    <t>Campaign/Brand Matching</t>
  </si>
  <si>
    <t>Campaign/Intellectual Property Matching</t>
  </si>
  <si>
    <t>Campaign/Market Matching</t>
  </si>
  <si>
    <t>Campaign/Product Matching</t>
  </si>
  <si>
    <t>Campaign/Customer Matching</t>
  </si>
  <si>
    <t>Campaign/Partner Matching</t>
  </si>
  <si>
    <t>Campaign/Location Matching</t>
  </si>
  <si>
    <t>Campaign/Channel Matching</t>
  </si>
  <si>
    <t>Campaign/Job Matching</t>
  </si>
  <si>
    <t>Campaign/Training Matching</t>
  </si>
  <si>
    <t>Campaign/Policy Matching</t>
  </si>
  <si>
    <t>Campaign/Finance Matching</t>
  </si>
  <si>
    <t>Investment/Asset Matching</t>
  </si>
  <si>
    <t>Investment/Strategy Matching</t>
  </si>
  <si>
    <t>Investment/Plan Matching</t>
  </si>
  <si>
    <t>Investment/Payment Matching</t>
  </si>
  <si>
    <t>Investment/Policy Matching</t>
  </si>
  <si>
    <t>Investment/Research Matching</t>
  </si>
  <si>
    <t>Market/Brand Matching</t>
  </si>
  <si>
    <t>Market/Location Matching</t>
  </si>
  <si>
    <t>Message/Message Matching</t>
  </si>
  <si>
    <t>Message/Policy Matching</t>
  </si>
  <si>
    <t>Message/Strategy Matching</t>
  </si>
  <si>
    <t>Message/Program Matching</t>
  </si>
  <si>
    <t>Message/Brand Matching</t>
  </si>
  <si>
    <t>Message/Work Item Matching</t>
  </si>
  <si>
    <t>Message/Customer Matching</t>
  </si>
  <si>
    <t>Message/Channel Matching</t>
  </si>
  <si>
    <t>Message/Asset Matching</t>
  </si>
  <si>
    <t>Message/Product Matching</t>
  </si>
  <si>
    <t>Message/Partner Matching</t>
  </si>
  <si>
    <t>Message/Agreement Matching</t>
  </si>
  <si>
    <t>Message/Research Matching</t>
  </si>
  <si>
    <t>Message/Training Matching</t>
  </si>
  <si>
    <t>Message/Market Matching</t>
  </si>
  <si>
    <t>Message/Incident Matching</t>
  </si>
  <si>
    <t>Message/Inquiry Matching</t>
  </si>
  <si>
    <t>Message/Plan Matching</t>
  </si>
  <si>
    <t>Message/Campaign Matching</t>
  </si>
  <si>
    <t>Ability to design, structure, describe, analyze, and articulate a plan around external influences, such as competition, changing customer behavior, or regulations, and internal objectives and goals, such as financial goals, strategies, or business model changes, and to adjust if change is needed.</t>
  </si>
  <si>
    <t>Plan/Plan Matching</t>
  </si>
  <si>
    <t>Plan/Program Matching</t>
  </si>
  <si>
    <t>Plan/Work Item Matching</t>
  </si>
  <si>
    <t>Plan/Schedule Matching</t>
  </si>
  <si>
    <t>Plan/Investment Matching</t>
  </si>
  <si>
    <t>Plan/Partner Matching</t>
  </si>
  <si>
    <t>Plan/Asset Matching</t>
  </si>
  <si>
    <t>Plan/Policy Matching</t>
  </si>
  <si>
    <t>Plan/Strategy Matching</t>
  </si>
  <si>
    <t>Plan/Channel Matching</t>
  </si>
  <si>
    <t>Policy/Policy Matching</t>
  </si>
  <si>
    <t>Policy/Location Matching</t>
  </si>
  <si>
    <t>Research/Product Matching</t>
  </si>
  <si>
    <t>Research/Research Matching</t>
  </si>
  <si>
    <t>Strategy/Strategy Matching</t>
  </si>
  <si>
    <t>Strategy/Research Matching</t>
  </si>
  <si>
    <t>Vision/Goal Matching</t>
  </si>
  <si>
    <t>Objective/Action Item Matching</t>
  </si>
  <si>
    <t>Agreement/Customer Matching</t>
  </si>
  <si>
    <t>Agreement/Product Matching</t>
  </si>
  <si>
    <t>Agreement/Payment Matching</t>
  </si>
  <si>
    <t>Agreement/Partner Matching</t>
  </si>
  <si>
    <t>Agreement/Channel Matching</t>
  </si>
  <si>
    <t>Agreement/Agreement Matching</t>
  </si>
  <si>
    <t>Agreement/Financial Account Matching</t>
  </si>
  <si>
    <t>Ability to associate an agreement with a financial account on the organization's chart of accounts.</t>
  </si>
  <si>
    <t>Agreement/Policy Matching</t>
  </si>
  <si>
    <t>Agreement/Facility Matching</t>
  </si>
  <si>
    <t>Agreement/Asset Matching</t>
  </si>
  <si>
    <t>Agreement/Decision Matching</t>
  </si>
  <si>
    <t>Agreement/Time Matching</t>
  </si>
  <si>
    <t>Agreement/Authored Item Matching</t>
  </si>
  <si>
    <t>Customer/Strategy Matching</t>
  </si>
  <si>
    <t>Customer/Plan Matching</t>
  </si>
  <si>
    <t>Customer/Program Matching</t>
  </si>
  <si>
    <t>Customer/Market Matching</t>
  </si>
  <si>
    <t>Customer/Product Matching</t>
  </si>
  <si>
    <t>Customer/Customer Matching</t>
  </si>
  <si>
    <t>Customer/Partner Matching</t>
  </si>
  <si>
    <t>Customer/Human Resource Matching</t>
  </si>
  <si>
    <t>Customer/Location Matching</t>
  </si>
  <si>
    <t>Customer/Channel Matching</t>
  </si>
  <si>
    <t>Partner/Strategy Matching</t>
  </si>
  <si>
    <t>Partner/Campaign Matching</t>
  </si>
  <si>
    <t>Partner/Product Matching</t>
  </si>
  <si>
    <t>Partner/Partner Matching</t>
  </si>
  <si>
    <t>Partner/Location Matching</t>
  </si>
  <si>
    <t>Partner/Channel Matching</t>
  </si>
  <si>
    <t>Partner/Competency Matching</t>
  </si>
  <si>
    <t>Partner/Investment Matching</t>
  </si>
  <si>
    <t>Partner/Market Matching</t>
  </si>
  <si>
    <t>Ability to control, process, organize, and analyze decisions regarding the collective set of products the organization provides to meet its objectives.</t>
  </si>
  <si>
    <t>Product/Strategy Matching</t>
  </si>
  <si>
    <t>Product/Brand Matching</t>
  </si>
  <si>
    <t>Product/Channel Matching</t>
  </si>
  <si>
    <t>Product/Message Matching</t>
  </si>
  <si>
    <t>Product/Training Matching</t>
  </si>
  <si>
    <t>Product/Product Matching</t>
  </si>
  <si>
    <t>Product/Asset Matching</t>
  </si>
  <si>
    <t>Product/Plan Matching</t>
  </si>
  <si>
    <t>Ability to identify, assess, aggregate, articulate, and incorporate various exposures to harm, danger, or loss associated with a given asset.</t>
  </si>
  <si>
    <t>Asset/Asset Matching</t>
  </si>
  <si>
    <t>Asset/Location Matching</t>
  </si>
  <si>
    <t>Asset/Facility Matching</t>
  </si>
  <si>
    <t>Asset/Partner Matching</t>
  </si>
  <si>
    <t>Asset/Program Matching</t>
  </si>
  <si>
    <t>Asset/Investment Matching</t>
  </si>
  <si>
    <t>Asset/Customer Matching</t>
  </si>
  <si>
    <t>Asset/Job Matching</t>
  </si>
  <si>
    <t>Asset/Competency Matching</t>
  </si>
  <si>
    <t>Ability to associate competencies with other business objects.</t>
  </si>
  <si>
    <t>Competency/Plan Matching</t>
  </si>
  <si>
    <t>Competency/Training Matching</t>
  </si>
  <si>
    <t>Competency/Competency Matching</t>
  </si>
  <si>
    <t>Event/Location Matching</t>
  </si>
  <si>
    <t>Facility/Location Matching</t>
  </si>
  <si>
    <t>Facility/Plan Matching</t>
  </si>
  <si>
    <t>Facility/Policy Matching</t>
  </si>
  <si>
    <t>Facility/Facility Matching</t>
  </si>
  <si>
    <t>Ability to plan, direct, monitor, organize, control, and report on the monetary aspects and resources of the organization.</t>
  </si>
  <si>
    <t>Ability to determine, define, or monitor financial threats and vulnerabilities related to the financial condition of the organization.</t>
  </si>
  <si>
    <t>Ability to associate financial aspects of the organization with other aspects of the enterprise.</t>
  </si>
  <si>
    <t>Finance/Policy Matching</t>
  </si>
  <si>
    <t>Finance/Strategy Matching</t>
  </si>
  <si>
    <t>Ability to organize, track, report on, or otherwise disseminate basic attributes, data, and other perspectives about the financials of the organization.</t>
  </si>
  <si>
    <t>Ability to identify, assess, and track the different stages an incident goes through from initial consideration through eventual closure.</t>
  </si>
  <si>
    <t>Incident/Incident Matching</t>
  </si>
  <si>
    <t>Incident/Policy Matching</t>
  </si>
  <si>
    <t>Incident/Strategy Matching</t>
  </si>
  <si>
    <t>Incident/Program Matching</t>
  </si>
  <si>
    <t>Incident/Brand Matching</t>
  </si>
  <si>
    <t>Incident/Work Item Matching</t>
  </si>
  <si>
    <t>Incident/Customer Matching</t>
  </si>
  <si>
    <t>Incident/Channel Matching</t>
  </si>
  <si>
    <t>Incident/Asset Matching</t>
  </si>
  <si>
    <t>Incident/Product Matching</t>
  </si>
  <si>
    <t>Incident/Partner Matching</t>
  </si>
  <si>
    <t>Incident/Agreement Matching</t>
  </si>
  <si>
    <t>Incident/Inquiry Matching</t>
  </si>
  <si>
    <t>Ability to define, assign, and track variants on information over time and location.</t>
  </si>
  <si>
    <t>Information Persistence/Time Matching</t>
  </si>
  <si>
    <t>Information/Plan Matching</t>
  </si>
  <si>
    <t>Information/Policy Matching</t>
  </si>
  <si>
    <t>Information/Strategy Matching</t>
  </si>
  <si>
    <t>Inquiry/Inquiry Matching</t>
  </si>
  <si>
    <t>Inquiry/Policy Matching</t>
  </si>
  <si>
    <t>Inquiry/Strategy Matching</t>
  </si>
  <si>
    <t>Inquiry/Human Resource Matching</t>
  </si>
  <si>
    <t>Inquiry/Program Matching</t>
  </si>
  <si>
    <t>Inquiry/Brand Matching</t>
  </si>
  <si>
    <t>Inquiry/Work Item Matching</t>
  </si>
  <si>
    <t>Inquiry/Customer Matching</t>
  </si>
  <si>
    <t>Inquiry/Channel Matching</t>
  </si>
  <si>
    <t>Inquiry/Asset Matching</t>
  </si>
  <si>
    <t>Inquiry/Product Matching</t>
  </si>
  <si>
    <t>Inquiry/Partner Matching</t>
  </si>
  <si>
    <t>Inquiry/Financial Transaction Matching</t>
  </si>
  <si>
    <t>Inquiry/Financial Account Matching</t>
  </si>
  <si>
    <t>Inquiry/Agreement Matching</t>
  </si>
  <si>
    <t>Inquiry/Research Matching</t>
  </si>
  <si>
    <t>Job/Job Matching</t>
  </si>
  <si>
    <t>Job/Policy Matching</t>
  </si>
  <si>
    <t>Job/Agreement Matching</t>
  </si>
  <si>
    <t>Job/Strategy Matching</t>
  </si>
  <si>
    <t>Job/Plan Matching</t>
  </si>
  <si>
    <t>Job/Competency Matching</t>
  </si>
  <si>
    <t>Location/Policy Matching</t>
  </si>
  <si>
    <t>Location/Location Matching</t>
  </si>
  <si>
    <t>Location/Plan Matching</t>
  </si>
  <si>
    <t>Program/Strategy Matching</t>
  </si>
  <si>
    <t>Program/Plan Matching</t>
  </si>
  <si>
    <t>Program/Partner Matching</t>
  </si>
  <si>
    <t>Program/Asset Matching</t>
  </si>
  <si>
    <t>Program/Investment Matching</t>
  </si>
  <si>
    <t>Training/Location Matching</t>
  </si>
  <si>
    <t>Agreement/Collateral Matching</t>
  </si>
  <si>
    <t>Asset acquired.</t>
  </si>
  <si>
    <t>Asset order requested.</t>
  </si>
  <si>
    <t>Asset order validated.</t>
  </si>
  <si>
    <t>Asset order sourced.</t>
  </si>
  <si>
    <t>Asset order processed.</t>
  </si>
  <si>
    <t>Asset requester received asset.</t>
  </si>
  <si>
    <t>Audit request acknowledged.</t>
  </si>
  <si>
    <t>Audit planned.</t>
  </si>
  <si>
    <t>Audit information available.</t>
  </si>
  <si>
    <t>Audit information analysis completed.</t>
  </si>
  <si>
    <t>Audit report documented.</t>
  </si>
  <si>
    <t>Audit requester received audit report.</t>
  </si>
  <si>
    <t xml:space="preserve">Deliver Program </t>
  </si>
  <si>
    <t>Program outcome is delivered and the new/enhanced capabilities are transitioned to the sponsoring organization(s).</t>
  </si>
  <si>
    <t>Program request approved.</t>
  </si>
  <si>
    <t>Program plan articulated.</t>
  </si>
  <si>
    <t>Program plan approved.</t>
  </si>
  <si>
    <t>The act of securing program resources (e.g., money, people, assets).</t>
  </si>
  <si>
    <t>Program resourced.</t>
  </si>
  <si>
    <t>Program benefits delivered.</t>
  </si>
  <si>
    <t>Program work integrated into organization.</t>
  </si>
  <si>
    <t>Asset is made available and ready for use.</t>
  </si>
  <si>
    <t>Asset request accepted.</t>
  </si>
  <si>
    <t>The act of authenticating and verifying a request received for asset.</t>
  </si>
  <si>
    <t>Asset request approved.</t>
  </si>
  <si>
    <t>The act of assessing performance or suitability of asset.</t>
  </si>
  <si>
    <t>Valid request, asset identified</t>
  </si>
  <si>
    <t>Asset scope of work approved.</t>
  </si>
  <si>
    <t>Asset ready for deployment.</t>
  </si>
  <si>
    <t>Asset activated for use.</t>
  </si>
  <si>
    <t xml:space="preserve">Develop Human Resource Career </t>
  </si>
  <si>
    <t>The end-to-end perspective of developing an individual's career, from performance assessment to skills and experience enhancement and individual redeployment.</t>
  </si>
  <si>
    <t>Individual is positioned for success, maximizes their contributions, and is committed to the company.</t>
  </si>
  <si>
    <t>The act of initiating the evaluation of an individual, triggered either by the individual or manager.</t>
  </si>
  <si>
    <t>Career evaluation request acknowledged.</t>
  </si>
  <si>
    <t>Career development plan defined.</t>
  </si>
  <si>
    <t>The act of supporting the individual to execute his or her development plan and achieve the skills and experience required to meet desired career opportunities.</t>
  </si>
  <si>
    <t>Human resource skills and experience improved to match career opportunity.</t>
  </si>
  <si>
    <t>Human resource career developed.</t>
  </si>
  <si>
    <t>The end-to-end perspective of requesting, creating, and delivering of information products to requester.</t>
  </si>
  <si>
    <t>Required information is available to requester.</t>
  </si>
  <si>
    <t>Information request communicated.</t>
  </si>
  <si>
    <t>The act of identifying the sources of information required to fulfill the request.</t>
  </si>
  <si>
    <t>Information found.</t>
  </si>
  <si>
    <t>The act of creating the information product by extracting, transforming, loading, and aggregating the sources of information as needed, as well as validating its quality.</t>
  </si>
  <si>
    <t>Information created.</t>
  </si>
  <si>
    <t>Information packaged.</t>
  </si>
  <si>
    <t>Information delivered.</t>
  </si>
  <si>
    <t>The end-to-end perspective of ensuring compliance with legislation and business-driven policies, from identifying compliance requirements to implementing controls, evaluating controls effectiveness, addressing compliance incidents, and reporting compliance as required.</t>
  </si>
  <si>
    <t>Company is compliant with both legislation and business-driven policies and avoids legal or reputation consequences.</t>
  </si>
  <si>
    <t>Compliance requirements analyzed.</t>
  </si>
  <si>
    <t>The act of implementing people, process, and technology changes, and required training to enable the predefined compliance controls.</t>
  </si>
  <si>
    <t>Company's human resources and third parties are aware of the compliance controls and how they affect their processes and interactions.</t>
  </si>
  <si>
    <t xml:space="preserve">Risk Manager, Business Manager, Technology Manager, Human Resource, Customer, Partner </t>
  </si>
  <si>
    <t>The act of evaluating compliance controls' effectiveness and proactively manage compliance incidents, including disciplinary actions if required.</t>
  </si>
  <si>
    <t>Compliance controls are optimal and compliance incidents are proactively addressed.</t>
  </si>
  <si>
    <t>Risk Manager, Business Manager, Human Resource, Customer, Partner</t>
  </si>
  <si>
    <t>Company is compliant with legislation and business-driven policies.</t>
  </si>
  <si>
    <t>The end-to-end perspective of executing a campaign, from identifying the need for a campaign, to planning, designing, implementing, and measuring the effectiveness of the campaign.</t>
  </si>
  <si>
    <t>The campaign message has been delivered to the campaign targets, the effectiveness of the campaign results have been analyzed, and potential future optimization plans have been identified.</t>
  </si>
  <si>
    <t>The act of submitting a request for a campaign.</t>
  </si>
  <si>
    <t>Campaign request acknowledged.</t>
  </si>
  <si>
    <t>The act of defining a campaign plan, including campaign targets and message, delivery channels, implementation schedule, success criteria, and required campaign budget and resources.</t>
  </si>
  <si>
    <t>Campaign plans defined.</t>
  </si>
  <si>
    <t>The act of defining campaign collateral, including target specific messaging and graphic designs for each delivery channel.</t>
  </si>
  <si>
    <t>Campaign execution designed.</t>
  </si>
  <si>
    <t>The act of delivering campaign content as planned.</t>
  </si>
  <si>
    <t>Campaign message received by campaign targets.</t>
  </si>
  <si>
    <t>The act of measuring effectiveness of a campaign and identify possible optimizations for future execution.</t>
  </si>
  <si>
    <t>Campaign effectiveness measured and optimization plans identified.</t>
  </si>
  <si>
    <t>The end-to-end perspective of identifying, exploring, and selecting an individual to fill a need within an organization.</t>
  </si>
  <si>
    <t>The act of submitting a recruitment requisition for a vacancy required to perform work for the organization.</t>
  </si>
  <si>
    <t>Recruitment requisition opened.</t>
  </si>
  <si>
    <t>The act of verifying that the recruitment requisition's financial and business justification criteria are acceptable.</t>
  </si>
  <si>
    <t>Position opened.</t>
  </si>
  <si>
    <t>The act of finding individuals who may qualify for the open position and validating their interest.</t>
  </si>
  <si>
    <t>Potential matches for open position identified.</t>
  </si>
  <si>
    <t>The act of assessing the potential candidates against the open position requirements and extending an offer to the most qualified individual.</t>
  </si>
  <si>
    <t>Offer extended</t>
  </si>
  <si>
    <t>Match for open position identified.</t>
  </si>
  <si>
    <t>The act of negotiating the employment agreement terms and conditions.</t>
  </si>
  <si>
    <t>Commitment from individual confirmed.</t>
  </si>
  <si>
    <t>The act of bringing an individual into the organization and providing necessary training and resources for him or her to effectively start contributing.</t>
  </si>
  <si>
    <t>Individual is contributing.</t>
  </si>
  <si>
    <t>Optimize Investments</t>
  </si>
  <si>
    <t>The act of understanding the strategy and goals of the enterprise.</t>
  </si>
  <si>
    <t>Investment review request acknowledged.</t>
  </si>
  <si>
    <t>The act of gathering and analyzing all relevant information related to transformation of financial and customer goals and objectives.</t>
  </si>
  <si>
    <t>Investment needs identified.</t>
  </si>
  <si>
    <t>The act of recognizing, designing, evaluating, and prioritizing actions in accordance with strategy, cause-and-effect linkages, and policies and regulations.</t>
  </si>
  <si>
    <t>Potential investments identified.</t>
  </si>
  <si>
    <t>Select Investment Options</t>
  </si>
  <si>
    <t>The act of selecting a course of action based on assessment of options.</t>
  </si>
  <si>
    <t>Optimal investments identified.</t>
  </si>
  <si>
    <t>Execute Investment Options</t>
  </si>
  <si>
    <t>The act of putting an investment plan in motion.</t>
  </si>
  <si>
    <t>Optimal investments in place.</t>
  </si>
  <si>
    <t>The end-to-end perspective of preparing, approving, and releasing external financial statements that disclose an organization's financial status to management, investors, and the government.</t>
  </si>
  <si>
    <t>Company is compliant with financial regulations and its financial standing is communicated to management, investors, and government.</t>
  </si>
  <si>
    <t>The act of initiating the generation of financials statements, either on request or after the financial period closure.</t>
  </si>
  <si>
    <t>Financial statement requests acknowledged.</t>
  </si>
  <si>
    <t>Financial statements generated and annotated</t>
  </si>
  <si>
    <t>Financial statements prepared.</t>
  </si>
  <si>
    <t>The act of reviewing and approving the financial statements and associated notes.</t>
  </si>
  <si>
    <t>Financial statements  approved</t>
  </si>
  <si>
    <t>Financial statements approved.</t>
  </si>
  <si>
    <t>The act of organizing and facilitating press releases and conference calls regarding quarterly earnings and related information, releasing quarterly and annual reports to investors, and posting financial information on the corporation's website.</t>
  </si>
  <si>
    <t>Financial statements  communicated to management and investors</t>
  </si>
  <si>
    <t>Management and investors are aware of the company financial standings.</t>
  </si>
  <si>
    <t>The act of filing financial reports to governmental agencies including quarterly and annual reports to the Securities and Exchange Commission (SEC).</t>
  </si>
  <si>
    <t>Financial statements submitted to regulators</t>
  </si>
  <si>
    <t xml:space="preserve">The end-to-end perspective enabling the bi-directional exchange of payments between an organization and a customer, partner, or human resource.
</t>
  </si>
  <si>
    <t>Customer, Human Resource, Organization, Partner</t>
  </si>
  <si>
    <t>Payment request received.</t>
  </si>
  <si>
    <t>Payment request validated.</t>
  </si>
  <si>
    <t>Payment made.</t>
  </si>
  <si>
    <t>Accounts reconciled.</t>
  </si>
  <si>
    <t>Investment Portfolio Variance Assessment</t>
  </si>
  <si>
    <t>Customer or other requester has new or updated agreement.</t>
  </si>
  <si>
    <t>Request initiated, acknowledged, and accepted.</t>
  </si>
  <si>
    <t>Needs communicated and understood.</t>
  </si>
  <si>
    <t>Information needed to establish or update agreement accepted.</t>
  </si>
  <si>
    <t>Risks to proceed are acceptable.</t>
  </si>
  <si>
    <t>Agreement is activated and current.</t>
  </si>
  <si>
    <t>Agreement activation activities and notifications finalized.</t>
  </si>
  <si>
    <t>Ability to ascertain that a customer or partner is qualified for an agreement.</t>
  </si>
  <si>
    <t>Ability to manage the operation of an agreement from execution to termination and beyond, including amendments, renewals, implementation, notices, responses, termination, and retention.</t>
  </si>
  <si>
    <t>Ability to identify and define the level of acceptable risk associated with an agreement.</t>
  </si>
  <si>
    <t>Ability to define and impose limitations of access rights to a given channel or set of channels.</t>
  </si>
  <si>
    <t>Ability to ensure that the business acknowledges and complies with customer-related preferences, particularly where those preferences are explicitly defined by the customer.</t>
  </si>
  <si>
    <t>Ability to identify, establish, and manage alternative origins of a product or its constituent parts.</t>
  </si>
  <si>
    <t>Ability to determine how well a product is meeting specification and objective levels or delivering against plan.</t>
  </si>
  <si>
    <t>Ability to decompose given multiple financial instruments order to a set of sub-orders for individual financial instruments.</t>
  </si>
  <si>
    <t>Ability to associate an investment with an investment portfolio.</t>
  </si>
  <si>
    <t>Ability to identify, record, and represent a chronological order of events and actions associated with an investment.</t>
  </si>
  <si>
    <t xml:space="preserve">Ability to determine if collateral is  appropriate to a given target and generally a fit for its intended purpose. </t>
  </si>
  <si>
    <t>Ability to identify, record, and represent a chronological order of events and actions associated with a business's finances.</t>
  </si>
  <si>
    <t>Financial Instrument/Market Matching</t>
  </si>
  <si>
    <t>Order/Order Matching</t>
  </si>
  <si>
    <t>Order/Agreement Matching</t>
  </si>
  <si>
    <t>Order/Customer Matching</t>
  </si>
  <si>
    <t>Order/Channel Matching</t>
  </si>
  <si>
    <t>Order/Market Matching</t>
  </si>
  <si>
    <t xml:space="preserve">Handles the development and enhancement of the channel's product offerings. </t>
  </si>
  <si>
    <t xml:space="preserve">Handles ensuring that all applicable laws, regulations, and rules are adhered to by the organization. </t>
  </si>
  <si>
    <t>Supports corporate finance and management dealing with the buying, selling, dividing, and combining of different companies and similar entities that can help an organization grow rapidly in its sector or location of origin, or a new field or new location, without creating a subsidiary, other child entity, or using a joint venture.</t>
  </si>
  <si>
    <t>Handles the management of assets that do not directly produce revenue for the organization (e.g., real estate, equipment).</t>
  </si>
  <si>
    <t>Identified requester with unidentified needs</t>
  </si>
  <si>
    <t>The act of receiving the requester’s approval to proceed as well as gathering and validating all remaining information needed to establish or modify an agreement.</t>
  </si>
  <si>
    <t xml:space="preserve">The act of both parties (the requester and the business) assessing the risk of establishing or updating the agreement and agreeing to proceed. </t>
  </si>
  <si>
    <t>Product concept ready for test marketing.</t>
  </si>
  <si>
    <t>Product concept is viable and profitable.</t>
  </si>
  <si>
    <t>Product created and ready for deployment.</t>
  </si>
  <si>
    <t>“Piloted” product with a decision to proceed to full deployment</t>
  </si>
  <si>
    <t>Product and product distribution tested and verified.</t>
  </si>
  <si>
    <t>Product fully deployed.</t>
  </si>
  <si>
    <t>Requested transaction correctly and efficiently executed on an agreement.</t>
  </si>
  <si>
    <t>Requested transaction is being processed.</t>
  </si>
  <si>
    <t>The act of ensuring that the requester has authority to request the transaction and the agreement is in a valid state to allow the transaction to occur.</t>
  </si>
  <si>
    <t>Requested transaction is validated and able to proceed.</t>
  </si>
  <si>
    <t>Related transaction impacts are identified.</t>
  </si>
  <si>
    <t>Requested transaction is performed.</t>
  </si>
  <si>
    <t>Stakeholders are notified of transaction.</t>
  </si>
  <si>
    <t>Equitable, compliant trade of a financial instrument completed.</t>
  </si>
  <si>
    <t>Need for trade determined/recognized</t>
  </si>
  <si>
    <t>Requested trade is in progress.</t>
  </si>
  <si>
    <t>Select Accredited Broker-Dealer</t>
  </si>
  <si>
    <t>The act of determining and selecting which Broker-Dealer will execute the financial instrument trade.</t>
  </si>
  <si>
    <t>Broker-Dealer selected</t>
  </si>
  <si>
    <t>Accredited and authorized Broker-Dealer has responsibility for the trade.</t>
  </si>
  <si>
    <t>Trade order ready for placement in the market.</t>
  </si>
  <si>
    <t>Registered Representative</t>
  </si>
  <si>
    <t xml:space="preserve">Trade request validated </t>
  </si>
  <si>
    <t>Trade order quotes obtained.</t>
  </si>
  <si>
    <t>Trade order agreed/confirmed.</t>
  </si>
  <si>
    <t>Requested trade is completed.</t>
  </si>
  <si>
    <t>Issue or inquiry resolved to customer’s or initiator’s satisfaction.</t>
  </si>
  <si>
    <t>Issue accepted for review.</t>
  </si>
  <si>
    <t>Root cause of the issue is identified.</t>
  </si>
  <si>
    <t>Issue is resolved.</t>
  </si>
  <si>
    <t>All stakeholders notified of resolution.</t>
  </si>
  <si>
    <t>Actions taken to ensure likelihood of issue recurring is reduced.</t>
  </si>
  <si>
    <t>Policy request is initiated.</t>
  </si>
  <si>
    <t>Policy is formulated.</t>
  </si>
  <si>
    <t>The official review and legally binding vote by authorized persons (e.g., Compliance Risk Officer) to establish the creation or modification of a policy for a financial institution.</t>
  </si>
  <si>
    <t>Policy is approved.</t>
  </si>
  <si>
    <t>Policy is published.</t>
  </si>
  <si>
    <t xml:space="preserve">Value Stream Definition/Description </t>
  </si>
  <si>
    <t>An Agent acts on behalf of the organization’s business dealings, including buy/sell transactions.</t>
  </si>
  <si>
    <t>Customer, Partner,  Authorized Representative, Internal Stakeholder</t>
  </si>
  <si>
    <t>Customer, Partner, Authorized Representative, Customer Service Advisor, Channel Manager</t>
  </si>
  <si>
    <t>Assess Product Launch Success</t>
  </si>
  <si>
    <t>The act of verifying and assessing the performance of the product launch.</t>
  </si>
  <si>
    <t>Successful, fully launched product</t>
  </si>
  <si>
    <t>Qualitative and quantitative product metrics</t>
  </si>
  <si>
    <t>Quality of product launch rating</t>
  </si>
  <si>
    <t xml:space="preserve">Activities involved in the end-to-end creation or update of policies that govern how the organization operates. </t>
  </si>
  <si>
    <t xml:space="preserve">Transparent, and consistent published governing policies for the benefit and protection of customers, shareholders, and the financial market. </t>
  </si>
  <si>
    <t>Ability to associate collateral with other aspects of the business.</t>
  </si>
  <si>
    <t>Ability to associate investment portfolios with other aspects of the business.</t>
  </si>
  <si>
    <t>Ability to associate financial transactions with other business objects, including financial accounts, investments, channels, customers, and partners.</t>
  </si>
  <si>
    <t>Ability to associate a given location with other business objects.</t>
  </si>
  <si>
    <t>Ability to associate a program with a strategy.</t>
  </si>
  <si>
    <t>Ability to associate a program with a plan.</t>
  </si>
  <si>
    <t>Ability to associate a program with a work item.</t>
  </si>
  <si>
    <t>Ability to associate a program with a human resource.</t>
  </si>
  <si>
    <t>Ability to associate a program with a partner.</t>
  </si>
  <si>
    <t>Ability to associate a program with an asset.</t>
  </si>
  <si>
    <t>Ability to associate a program with an investment.</t>
  </si>
  <si>
    <t>Ability to control, organize, allocate a set of investments to achieve an acceptable balance of risk, return, and volatility.</t>
  </si>
  <si>
    <t>Ability to evaluate the possibility that an investment portfolio may not achieve its objectives.</t>
  </si>
  <si>
    <t>Ability to define sub-categorizations of locations, for example, cities within countries.</t>
  </si>
  <si>
    <t>Ability to assess and determine the monetary worth of an investment portfolio in whole or in part.</t>
  </si>
  <si>
    <t>Ability to define the model/target allocation mix of investments to achieve the objectives as defined for the investment portfolio.</t>
  </si>
  <si>
    <t>Ability to measure the current investment allocation mix of the investment portfolio allocation against the model allocation.</t>
  </si>
  <si>
    <t>Ability to identify and determine which investment portfolio model best matches customer needs.</t>
  </si>
  <si>
    <t>Ability to invest in different investment classes and in financial instruments of many issuers in an attempt to reduce overall investment risk due to poor performance of a single investment or financial instrument.</t>
  </si>
  <si>
    <t>Ability to measure the performance of an investment portfolio including calculating ROR and other types of measurements.</t>
  </si>
  <si>
    <t>Ability to associate investment portfolios with one another.</t>
  </si>
  <si>
    <t>Ability to associate an investment portfolio with an agreement.</t>
  </si>
  <si>
    <t>Ability to associate an investment portfolio with a strategy.</t>
  </si>
  <si>
    <t>Ability to associate an investment portfolio with a plan.</t>
  </si>
  <si>
    <t>Campaign/Plan Matching</t>
  </si>
  <si>
    <t>Ability to update an agreement period, or duration thereby extending an agreement in accordance with an agreement terms and conditions.</t>
  </si>
  <si>
    <t>Ability to associate a product specific message to the product.</t>
  </si>
  <si>
    <t>Asset Inventory Management</t>
  </si>
  <si>
    <t>Ability to count, track, organize, and report on assets.</t>
  </si>
  <si>
    <t>Asset/Policy Matching</t>
  </si>
  <si>
    <t>Ability to associate an agreement with a piece of collateral.</t>
  </si>
  <si>
    <t>Ability to match a piece of collateral with a customer.</t>
  </si>
  <si>
    <t>Ability to match a piece of collateral with a product.</t>
  </si>
  <si>
    <t>Ability to match a piece of collateral with the channel that it was received from.</t>
  </si>
  <si>
    <t>Ability to match a piece of collateral with an asset.</t>
  </si>
  <si>
    <t>Ability to match a piece of collateral with the relevant policy/policies.</t>
  </si>
  <si>
    <t>Ability to match a piece of collateral with its location (such as for flood determination).</t>
  </si>
  <si>
    <t>Ability to match a message with collateral.</t>
  </si>
  <si>
    <t>Ability to articulate, organize, identify, track, validate, or otherwise administer descriptive, identifying information about a brand and its relationships.</t>
  </si>
  <si>
    <t>Ability to create, structure, and govern the legal body or bodies that comprises or comprise a single organization.</t>
  </si>
  <si>
    <t>Ability to consider a collective set of risk factors about a business entity and represent them from a rationalized perspective.</t>
  </si>
  <si>
    <t>Ability to associate a business entity with a policy.</t>
  </si>
  <si>
    <t>Ability to identify, establish, validate, and articulate metrics and measures on historic and predictive behavior of a business.</t>
  </si>
  <si>
    <t>Ability to identify the need for, plan, design, execute, and measure the effectiveness of an outreach activity that targets a specific population; for example, customers, human resources, partners, and patients, to achieve a certain goal, such as marketing awareness, hiring activities, and health awareness.</t>
  </si>
  <si>
    <t>Ability to determine how well a campaign is meeting specification and objective levels or delivering against plan.</t>
  </si>
  <si>
    <t>Campaign/Meeting Matching</t>
  </si>
  <si>
    <t>Ability to articulate, organize, identify, track, validate, or otherwise administer descriptive, identifying information about a campaign and its relationships.</t>
  </si>
  <si>
    <t>Ability to identify, record, and represent a chronological order of events and actions associated with a campaign.</t>
  </si>
  <si>
    <t>Ability to establish, obtain, and identify intellectual property rights.</t>
  </si>
  <si>
    <t>Ability to associate intellectual property — such as a patent, trademark, or copyright — with an asset.</t>
  </si>
  <si>
    <t>Ability to articulate, organize, identify, track, validate, or otherwise administer descriptive, identifying information about intellectual property.</t>
  </si>
  <si>
    <t>Investment Risk Management</t>
  </si>
  <si>
    <t>Ability to identify, assess, aggregate, articulate, and incorporate various exposures to harm, danger, or loss associated with a given investment or set of investments.</t>
  </si>
  <si>
    <t>Investment Risk Level Determination</t>
  </si>
  <si>
    <t>Ability to identify and define the level of risk associated with an investment or set of investments.</t>
  </si>
  <si>
    <t>Investment Risk Threshold Determination</t>
  </si>
  <si>
    <t>Ability to identify and define the level of acceptable risk associated with an investment or set of investments.</t>
  </si>
  <si>
    <t>Investment Access Management</t>
  </si>
  <si>
    <t>Ability to establish, control, restrict, and administer rights to view, use, or change an investment in a variety of contexts.</t>
  </si>
  <si>
    <t>Investment Access Constraints Definition</t>
  </si>
  <si>
    <t xml:space="preserve">Ability to define and impose limitations of access rights to a given investment or set of investments.
</t>
  </si>
  <si>
    <t>Investment Access Constraints Interpretation</t>
  </si>
  <si>
    <t>Ability to understand imposed access rights limitations for a given investment or set of investments.</t>
  </si>
  <si>
    <t>Investment Access Enforcement</t>
  </si>
  <si>
    <t>Ability to associate an investment with one or more available monetary assets such as stocks, bonds, real estate, funds, or similar properties.</t>
  </si>
  <si>
    <t>Ability to associate an investment with a capital planning strategy.</t>
  </si>
  <si>
    <t>Ability to define, identify, quantify, qualify, analyze, segment, address, and create demand for existing or future products by individuals, populations of individuals, or organizations.</t>
  </si>
  <si>
    <t>Ability to quantify, set boundaries for, articulate, and identify a future or existing market.</t>
  </si>
  <si>
    <t>Market Risk Management</t>
  </si>
  <si>
    <t xml:space="preserve">Ability to identify, assess, aggregate, articulate, and incorporate various exposures to harm, danger, or loss associated with a market. </t>
  </si>
  <si>
    <t>Ability to associate a market with other business perspectives including but not limited to location, brand, or campaign.</t>
  </si>
  <si>
    <t>Ability to associate a market with a given brand or brands.</t>
  </si>
  <si>
    <t>Ability to associate a market with a specific location.</t>
  </si>
  <si>
    <t>Market/Currency Matching</t>
  </si>
  <si>
    <t>Ability to match a market with currency.</t>
  </si>
  <si>
    <t>Market Profile Management</t>
  </si>
  <si>
    <t>Ability to articulate, organize, identify, track, validate, or otherwise administer descriptive, identifying information about a market or market segment, and their relationships with other objects.</t>
  </si>
  <si>
    <t>Ability to define, craft, frame, vet, disseminate, and track a verbal, written, recorded, or digitally-represented communication, including missives, notifications, alerts, and other internally or externally targeted communication about the organization's mission, products, plans, activities, and other focal points.</t>
  </si>
  <si>
    <t>Message Scope Setting</t>
  </si>
  <si>
    <t>Message Structuring</t>
  </si>
  <si>
    <t>Ability to draft or otherwise construct a message from its initial state through modifications and dispensation.</t>
  </si>
  <si>
    <t>Ability to determine if a message is of high integrity and accuracy, appropriate to a given target, and generally a fit for its intended purpose.</t>
  </si>
  <si>
    <t>Ability to associate messages with strategy.</t>
  </si>
  <si>
    <t>Ability to associate messages with one or more human resources.</t>
  </si>
  <si>
    <t>Message/Meeting Matching</t>
  </si>
  <si>
    <t>Ability to associate messages with meetings.</t>
  </si>
  <si>
    <t>Ability to articulate, organize, identify, track, validate, or otherwise administer descriptive, identifying information about a message and its relationships.</t>
  </si>
  <si>
    <t>Ability to identify, record, and represent a chronological order of events and actions associated with a message.</t>
  </si>
  <si>
    <t>Ability to develop, communicate, and coordinate an articulated direction, related work items, and priorities to further the organization's goals and objectives across organizational units and entities within or outside the organization.</t>
  </si>
  <si>
    <t>Ability to define and impose limitations of access rights to a given plan or set of plans.</t>
  </si>
  <si>
    <t>Ability to understand imposed access rights limitations for a given plan or set of plans.</t>
  </si>
  <si>
    <t>Plan/Training Matching</t>
  </si>
  <si>
    <t>Plan/Decision Matching</t>
  </si>
  <si>
    <t xml:space="preserve">Ability to associate a plan with a decision. </t>
  </si>
  <si>
    <t>Plan/Objective Matching</t>
  </si>
  <si>
    <t>Ability to associate a plan with an objective.</t>
  </si>
  <si>
    <t>Ability to articulate, organize, identify, track, validate, or otherwise administer descriptive, identifying information about a plan and its relationships.</t>
  </si>
  <si>
    <t>Ability to establish, maintain, comply with, and administer a course or principle of action adopted or proposed by an organization.</t>
  </si>
  <si>
    <t>Policy Compliance Determination</t>
  </si>
  <si>
    <t>Ability to define and impose limitations of access rights to a given policy or set of policies.</t>
  </si>
  <si>
    <t>Ability to understand imposed access rights limitations for a given policy or set of policies.</t>
  </si>
  <si>
    <t>Policy Formalization</t>
  </si>
  <si>
    <t>Ability to articulate and draft meaningful policy that is readably interpreted and deployable.</t>
  </si>
  <si>
    <t>Policy Drafting</t>
  </si>
  <si>
    <t>Ability to render policy in a written form.</t>
  </si>
  <si>
    <t>Policy Validation</t>
  </si>
  <si>
    <t>Policy Finalization</t>
  </si>
  <si>
    <t>Ability to ensure that a policy is ready for distribution.</t>
  </si>
  <si>
    <t>Ability to determine that a policy is accurate, appropriate, and in accordance with legal or other constraints as circumstances demand.</t>
  </si>
  <si>
    <t>Ability to associate policies with other policies, such as defining a set of rules based on legislation.</t>
  </si>
  <si>
    <t>Ability to articulate, organize, identify, track, validate, or otherwise administer descriptive, identifying information about a policy and its relationships.</t>
  </si>
  <si>
    <t>Research Definition</t>
  </si>
  <si>
    <t>Ability to establish, declare, and identify research.</t>
  </si>
  <si>
    <t>Ability to associate research with various aspects and domains of the business.</t>
  </si>
  <si>
    <t>Research/Program Matching</t>
  </si>
  <si>
    <t>Ability to associate research with other research, including where certain research is derived by other research.</t>
  </si>
  <si>
    <t>Research/Market Matching</t>
  </si>
  <si>
    <t>Ability to associate research with a market.</t>
  </si>
  <si>
    <t>Research/Asset Matching</t>
  </si>
  <si>
    <t>Ability to associate research with a given asset.</t>
  </si>
  <si>
    <t>Research Profile Management</t>
  </si>
  <si>
    <t>Ability to articulate, organize, identify, track, validate, or otherwise administer descriptive, identifying information about research.</t>
  </si>
  <si>
    <t>Research Type Management</t>
  </si>
  <si>
    <t>Ability to determine, modify, and interpret the category or classification of research.</t>
  </si>
  <si>
    <t>Research State Management</t>
  </si>
  <si>
    <t>Ability to determine, modify, and interpret the status or condition of research.</t>
  </si>
  <si>
    <t>Research History Management</t>
  </si>
  <si>
    <t>Research Analytics Management</t>
  </si>
  <si>
    <t>Ability to identify, establish, validate, and articulate metrics and measures on historic and predictive determinations for research.</t>
  </si>
  <si>
    <t>Vision Definition</t>
  </si>
  <si>
    <t>Ability to describe and agree on the purpose of the organization.</t>
  </si>
  <si>
    <t>Ability to articulate a quantitative, measurable result that defines strategy.</t>
  </si>
  <si>
    <t>Action Item Definition</t>
  </si>
  <si>
    <t>Ability to articulate a specific course to be taken to achieve an objective.</t>
  </si>
  <si>
    <t>Ability to identify and represent the sequence of action items required to achieve a given quantitative, measurable result.</t>
  </si>
  <si>
    <t>Ability to determine and name an action item based on a given business need.</t>
  </si>
  <si>
    <t>Ability to define and impose limitations of access rights to a given strategy or set of strategies.</t>
  </si>
  <si>
    <t>Ability to understand imposed access rights limitations for a given strategy or set of strategies.</t>
  </si>
  <si>
    <t>Ability to associate a strategy with a given set of research.</t>
  </si>
  <si>
    <t>Ability to define and associate the goals needed to enact a given vision.</t>
  </si>
  <si>
    <t>Ability to ensure that quantifiable, measurable results are associated with actions to be taken to achieve those results.</t>
  </si>
  <si>
    <t>Strategy/Policy Matching</t>
  </si>
  <si>
    <t>Ability to associate a strategy with a policy.</t>
  </si>
  <si>
    <t>Goal/Objective Matching</t>
  </si>
  <si>
    <t>Strategy/Information Matching</t>
  </si>
  <si>
    <t>Objective/Objective Matching</t>
  </si>
  <si>
    <t>Ability to associate an objective with another objective.</t>
  </si>
  <si>
    <t>Strategy Information Management</t>
  </si>
  <si>
    <t>Ability to articulate, organize, identify, track, validate, or otherwise administer descriptive, identifying information about a strategy and its relationships.</t>
  </si>
  <si>
    <t>Ability to identify, record, and represent a chronological order of events and actions associated with a strategy.</t>
  </si>
  <si>
    <t>Agreement Eligibility Determination</t>
  </si>
  <si>
    <t>Agreement Price Determination</t>
  </si>
  <si>
    <t>Ability to aggregate one or more predefined product or offer prices into a baseline starting point for agreement price finalization.</t>
  </si>
  <si>
    <t>Ability to set specific agreement pricing that considers standard pricing, agreement terms and conditions, and risk.</t>
  </si>
  <si>
    <t>Ability to determine agreement pricing that considers standard pricing, custom pricing, and customer or partner negotiations.</t>
  </si>
  <si>
    <t>Ability to ascertain that an agreement conforms to the business's objectives.</t>
  </si>
  <si>
    <t>Ability to aggregate one or more predefined product or offer terms into a baseline starting point for agreement terms definition.</t>
  </si>
  <si>
    <t>Ability to align and validate the collective set of agreement risks, terms, price, and parties as a prelude to finalizing an agreement.</t>
  </si>
  <si>
    <t>Ability to ensure that the structure of an agreement aligns to defined practices in order to ready it for finalization.</t>
  </si>
  <si>
    <t>Ability to articulate preferences related to an agreement in a meaningful, reliable way.</t>
  </si>
  <si>
    <t>Agreement Preference Interpretation</t>
  </si>
  <si>
    <t>Ability to derive the meaning of one or a combination of preferences within an agreement or across multiple related agreements.</t>
  </si>
  <si>
    <t>Ability to quantify the terms and preferences that establish a baseline for determining compliance.</t>
  </si>
  <si>
    <t>Ability to articulate the delta or differences between the interpreted baseline and actual actions taken as a result of or related to an agreement.</t>
  </si>
  <si>
    <t>Ability to consider a collective set of risk factors about an agreement and represent them from a rationalized perspective.</t>
  </si>
  <si>
    <t>Ability to unambiguously define the restrictions, limitations, and permissions of an agreement in a way that can be efficiently and effectively interpreted and enforced.</t>
  </si>
  <si>
    <t>Ability to determine if the collective set of agreements is meeting the threshold of expressed desires and expectations.</t>
  </si>
  <si>
    <t>Ability to associate an agreement with each decision made related to that agreement at any point in its lifecycle.</t>
  </si>
  <si>
    <t>Ability to associate an agreement with the written manifestation of that agreement.</t>
  </si>
  <si>
    <t xml:space="preserve">Ability to associate an agreement with a human resource. </t>
  </si>
  <si>
    <t>Agreement Information Management</t>
  </si>
  <si>
    <t>Ability to identify, establish, validate, and articulate metrics and measures on historic and predictive determinations with an agreement or set of agreements.</t>
  </si>
  <si>
    <t>Ability to establish, declare, and identify a channel.</t>
  </si>
  <si>
    <t>Ability to consider a collective set of risk factors about a channel and represent them from a rationalized perspective.</t>
  </si>
  <si>
    <t>Channel Access Management</t>
  </si>
  <si>
    <t>Ability to understand imposed access rights limitations for a given channel or set of channels.</t>
  </si>
  <si>
    <t>Ability to determine how well a channel is meeting specification and objective levels or delivering against plan.</t>
  </si>
  <si>
    <t>Channel Matching</t>
  </si>
  <si>
    <t>Channel/Strategy Matching</t>
  </si>
  <si>
    <t>Ability to align a given approach to channel management based on one or more business strategies.</t>
  </si>
  <si>
    <t>Channel/Location Matching</t>
  </si>
  <si>
    <t>Ability to associate a channel with the location where it is valid or enabled.</t>
  </si>
  <si>
    <t>Channel/Policy Matching</t>
  </si>
  <si>
    <t>Ability to associate a channel with a policy.</t>
  </si>
  <si>
    <t>Channel Information Management</t>
  </si>
  <si>
    <t>Ability to articulate, organize, track, validate, and otherwise administer descriptive, identifying information about a channel and its relationships.</t>
  </si>
  <si>
    <t>Channel Analytics Management</t>
  </si>
  <si>
    <t>Ability to leverage various calculations to derive analytics for channels within the organization.</t>
  </si>
  <si>
    <t>Ability to control, predict, process, organize, present, and analyze all information, documents, preferences, experiences, and history related to a legal entity that has, plans to have, or has had an agreement with the organization, or is a recipient or beneficiary of the organization's products or services.</t>
  </si>
  <si>
    <t>Ability to identify and record the existence of a customer for the purposes of engaging with that customer on an ongoing basis.</t>
  </si>
  <si>
    <t>Customer Preference Management</t>
  </si>
  <si>
    <t>Ability to understand and determine the meanings or intentions of the differences in preference patterns of a customer.</t>
  </si>
  <si>
    <t>Ability to consider a collective set of risk factors about a customer and represent them from a rationalized perspective.</t>
  </si>
  <si>
    <t>Ability to determine that a customer is who they claim to be in context of a specific scenario or point of contact.</t>
  </si>
  <si>
    <t>Ability to determine if a customer may enter, view, modify, or otherwise proceed with a given task or point of entry, based on their authorization to proceed.</t>
  </si>
  <si>
    <t>Ability to prevent a customer from proceeding with a given task or point of entry based on not having authorization to do so.</t>
  </si>
  <si>
    <t>Customer/Policy Matching</t>
  </si>
  <si>
    <t>Ability to associate a customer with a policy.</t>
  </si>
  <si>
    <t>Ability to collect, organize, track, report on, or otherwise disseminate basic facts, statistics, attributes, and data about the customer.</t>
  </si>
  <si>
    <t>Ability to determine and modify the category of a customer.</t>
  </si>
  <si>
    <t>Customer History Management</t>
  </si>
  <si>
    <t>Customer Analytics Management</t>
  </si>
  <si>
    <t>Ability to identify, establish, validate, and articulate metrics and measures on historic and predictive determinations with a given customer or customers.</t>
  </si>
  <si>
    <t>Partner Management</t>
  </si>
  <si>
    <t>Partner Preference Management</t>
  </si>
  <si>
    <t>Ability to consider a collective set of risk factors about a partner and represent them from a rationalized perspective.</t>
  </si>
  <si>
    <t>Ability to determine that a partner is who they claim to be in context of a specific scenario or point of contact.</t>
  </si>
  <si>
    <t>Ability to determine if a partner may enter, view, modify, or otherwise proceed with a given task or point of entry, based on their authorization to proceed.</t>
  </si>
  <si>
    <t>Ability to prevent a partner from proceeding with a given task or point of entry based on not having authorization to do so.</t>
  </si>
  <si>
    <t>Partner Matching</t>
  </si>
  <si>
    <t>Ability to associate a partner with a marketing campaign providing a product or service for the benefit of both parties.</t>
  </si>
  <si>
    <t>Ability to associate a partner with a location for the purposes of delivering a given product or service in a given location in order to realize a given strategy or tactic.</t>
  </si>
  <si>
    <t>Ability to associate a partner with an investment or investments that the organization may be seeking or with which a partner is otherwise involved.</t>
  </si>
  <si>
    <t>Ability to associate a partner with a market.</t>
  </si>
  <si>
    <t>Partner/Policy Matching</t>
  </si>
  <si>
    <t>Ability to associate a partner with a policy.</t>
  </si>
  <si>
    <t>Partner Information Management</t>
  </si>
  <si>
    <t>Ability to determine and modify the category of a partner.</t>
  </si>
  <si>
    <t>Ability to identify, establish, validate, and articulate metrics and measures to enable business decisions based on historic and predictive determinations in order to generate a 360-degree view of the partner and the partner experience.</t>
  </si>
  <si>
    <t>Product Conceptualization</t>
  </si>
  <si>
    <t>Ability to articulate an idea for a new product or product enhancement.</t>
  </si>
  <si>
    <t>Ability to take the conceptualization of an idea about a product while considering its predetermined specifications in order to define the product’s features and required standards of performance, which may include drawings, blueprints, and other representations.</t>
  </si>
  <si>
    <t>Ability to determine if a product is proper and correct as compared to a set of internal requirements.</t>
  </si>
  <si>
    <t>Ability to assess price options based on what a targeted market or markets will bear.</t>
  </si>
  <si>
    <t>Ability to assess price options based on estimated product and distribution expenditures.</t>
  </si>
  <si>
    <t>Ability to formalize a product price that considers expenditures, market conditions, and related consideration.</t>
  </si>
  <si>
    <t>Ability to manage and articulate the differences among various versions of the same product.</t>
  </si>
  <si>
    <t>Ability to ensure the smooth transition from one version of a product to another, including scenarios where this is not possible.</t>
  </si>
  <si>
    <t>Ability to define, track, and articulate the series of stages of a product from conception through retirement.</t>
  </si>
  <si>
    <t>Ability to consider a collective set of risk factors about a product and represent them from a rationalized perspective.</t>
  </si>
  <si>
    <t>Ability to establish, control, restrict, and administer rights to view, use, or change a product in a variety of contexts.</t>
  </si>
  <si>
    <t>Ability to define and impose limitations of access rights to a given product or set of products.</t>
  </si>
  <si>
    <t>Ability to understand imposed access rights limitations for a given product or set of products.</t>
  </si>
  <si>
    <t>Product Configuration</t>
  </si>
  <si>
    <t xml:space="preserve">The ability to adapt a product to the environment in which it resides or is targeted to reside. </t>
  </si>
  <si>
    <t>Ability to associate product-specific training to a given product.</t>
  </si>
  <si>
    <t>Product/Policy Matching</t>
  </si>
  <si>
    <t>Ability to associate a product with a policy.</t>
  </si>
  <si>
    <t>Product Information Management</t>
  </si>
  <si>
    <t>Ability to articulate, organize, track, validate, and otherwise administer descriptive, identifying information about a product and its relationships.</t>
  </si>
  <si>
    <t>Product Analytics Management</t>
  </si>
  <si>
    <t>Ability to leverage various calculations to derive analytics for products within the organization.</t>
  </si>
  <si>
    <t>Ability to establish and identify an order.</t>
  </si>
  <si>
    <t>Order Splitting</t>
  </si>
  <si>
    <t>Ability to associate an order with other business objects.</t>
  </si>
  <si>
    <t>Order/Payment Matching</t>
  </si>
  <si>
    <t>Ability to associate an order with monies paid out and monies collected. </t>
  </si>
  <si>
    <t>Order/Partner Matching</t>
  </si>
  <si>
    <t>Order/Research Matching</t>
  </si>
  <si>
    <t>Ability to associate an order with research.</t>
  </si>
  <si>
    <t>Order/Facility Matching</t>
  </si>
  <si>
    <t>Ability to associate an order with a facility.</t>
  </si>
  <si>
    <t>Order/Product Matching</t>
  </si>
  <si>
    <t>Ability to associate an order with a product.</t>
  </si>
  <si>
    <t>Order/Asset Matching</t>
  </si>
  <si>
    <t>Ability to associate an order with a given asset tied to that order.</t>
  </si>
  <si>
    <t>Ability to identify, track, validate, report on, or otherwise administer descriptive information related to an order.</t>
  </si>
  <si>
    <t>Ability to create, track, report on, and dispose of, tangible or intangible property.</t>
  </si>
  <si>
    <t>Ability to assess an asset to assign a monetary value to it.</t>
  </si>
  <si>
    <t>Ability to determine if an asset is the proper and correct asset, as compared to a set of internal requirements.</t>
  </si>
  <si>
    <t>Ability to set up and prepare an asset for use.</t>
  </si>
  <si>
    <t>Ability to consider a collective set of risk factors about an asset and represent them from a rationalized perspective.</t>
  </si>
  <si>
    <t>Ability to establish, control, restrict, and administer rights to view, use, or change an asset in a variety of contexts.</t>
  </si>
  <si>
    <t>Ability to define and impose limitations of access rights to a given asset or set of assets.</t>
  </si>
  <si>
    <t>Ability to understand imposed access rights limitations for a given asset or set of assets.</t>
  </si>
  <si>
    <t>Ability to bring an asset into use.</t>
  </si>
  <si>
    <t>Ability to associate an asset with a policy.</t>
  </si>
  <si>
    <t>Ability to articulate, organize, identify, track, validate, or otherwise administer descriptive, identifying information about an asset and its relationships.</t>
  </si>
  <si>
    <t>Ability to identify, record, and represent a chronological order of events and actions associated with an asset.</t>
  </si>
  <si>
    <t>Ability to determine how well a competency is meeting specification and objective levels or delivering against plan.</t>
  </si>
  <si>
    <t>Competency/Policy Matching</t>
  </si>
  <si>
    <t>Ability to associate a competency with a policy.</t>
  </si>
  <si>
    <t>Ability to articulate, organize, identify, track, validate, or otherwise administer descriptive, identifying information about a competency and its relationships.</t>
  </si>
  <si>
    <t>Ability to identify, record, and represent a chronological order of events and actions associated with a competency.</t>
  </si>
  <si>
    <t>Meeting Management</t>
  </si>
  <si>
    <t>Meeting Definition</t>
  </si>
  <si>
    <t>Ability to establish, declare, and identify a meeting.</t>
  </si>
  <si>
    <t>Meeting Access Management</t>
  </si>
  <si>
    <t>Meeting Risk Management</t>
  </si>
  <si>
    <t>Ability to identify, assess, aggregate, articulate, and incorporate various exposures to harm, danger, or loss associated with a meeting.</t>
  </si>
  <si>
    <t>Meeting Matching</t>
  </si>
  <si>
    <t>Ability to associate a meeting with other business domains.</t>
  </si>
  <si>
    <t>Meeting/Plan Matching</t>
  </si>
  <si>
    <t>Ability to associate a meeting with a plan.</t>
  </si>
  <si>
    <t>Meeting/Location Matching</t>
  </si>
  <si>
    <t>Ability to associate a meeting with a location.</t>
  </si>
  <si>
    <t>Meeting/Human Resource Matching</t>
  </si>
  <si>
    <t>Ability to associate a meeting with a human resource.</t>
  </si>
  <si>
    <t>Meeting/Schedule Matching</t>
  </si>
  <si>
    <t>Ability to associate a meeting with a schedule.</t>
  </si>
  <si>
    <t>Meeting/Asset Matching</t>
  </si>
  <si>
    <t>Ability to associate a meeting with an asset.</t>
  </si>
  <si>
    <t>Meeting/Market Matching</t>
  </si>
  <si>
    <t>Ability to associate a meeting with a market.</t>
  </si>
  <si>
    <t>Meeting/Facility Matching</t>
  </si>
  <si>
    <t>Ability to associate a meeting with a facility.</t>
  </si>
  <si>
    <t>Ability to associate a meeting with a set of training content where that training would be delivered.</t>
  </si>
  <si>
    <t>Meeting/Meeting Matching</t>
  </si>
  <si>
    <t>Ability to associate a meeting with another meeting.</t>
  </si>
  <si>
    <t>Meeting/Program Matching</t>
  </si>
  <si>
    <t>Ability to associate a meeting with a program.</t>
  </si>
  <si>
    <t>Meeting/Strategy Matching</t>
  </si>
  <si>
    <t>Ability to associate a meeting with a strategy.</t>
  </si>
  <si>
    <t>Meeting/Customer Matching</t>
  </si>
  <si>
    <t>Ability to associate a meeting with a customer.</t>
  </si>
  <si>
    <t>Meeting/Partner Matching</t>
  </si>
  <si>
    <t>Ability to associate a meeting with a partner.</t>
  </si>
  <si>
    <t>Meeting/Product Matching</t>
  </si>
  <si>
    <t>Ability to associate a meeting with a product.</t>
  </si>
  <si>
    <t>Meeting Information Management</t>
  </si>
  <si>
    <t>Ability to collect, organize, monitor, report on, or otherwise disseminate basic facts, statistics, attributes, and data about the meeting.</t>
  </si>
  <si>
    <t>Meeting Profile Management</t>
  </si>
  <si>
    <t>Ability to articulate, organize, identify, track, validate, or otherwise administer descriptive, identifying information about a meeting and its relationships.</t>
  </si>
  <si>
    <t>Meeting Type Management</t>
  </si>
  <si>
    <t>Ability to determine, modify, and interpret the category or classification of a meeting.</t>
  </si>
  <si>
    <t>Meeting State Management</t>
  </si>
  <si>
    <t>Ability to determine, modify, and interpret the status or condition of a meeting.</t>
  </si>
  <si>
    <t>Meeting History Management</t>
  </si>
  <si>
    <t>Ability to identify, record, and represent a chronological order of events and actions associated with a meeting.</t>
  </si>
  <si>
    <t>Meeting Analytics Management</t>
  </si>
  <si>
    <t>Ability to identify, establish, validate, and articulate metrics and measures on historic and predictive determinations for one or more meetings.</t>
  </si>
  <si>
    <t>Meeting Performance Management</t>
  </si>
  <si>
    <t>Ability to determine how well a meeting is achieving expectations and objectives against plan.</t>
  </si>
  <si>
    <t>Ability to determine how well a facility is meeting specification and objective levels or delivering against design.</t>
  </si>
  <si>
    <t>Ability to articulate, organize, identify, track, validate, or otherwise administer descriptive, identifying information about a facility and its relationships.</t>
  </si>
  <si>
    <t>Financial Forecast Development</t>
  </si>
  <si>
    <t>Ability to model and articulate a financial forecast that may be interpreted and leveraged where applicable.</t>
  </si>
  <si>
    <t xml:space="preserve">Ability to create a description of a future state of finances. </t>
  </si>
  <si>
    <t>Ability to establish, maintain, balance, audit, secure, and provide access to a named container of monetary amounts that are typically organized into assets, liabilities, income, expense, equity, and other related categories.</t>
  </si>
  <si>
    <t>Ability to set and recognize the particular category of an account.</t>
  </si>
  <si>
    <t>Ability to set and recognize account status, including determination of an account that is pending, open, closed, or in arrears.</t>
  </si>
  <si>
    <t>Ability to debit, credit, or otherwise update amounts associated with a financial account, in whole or in part.</t>
  </si>
  <si>
    <t>Monetary Amount Management</t>
  </si>
  <si>
    <t>Ability to establish, determine, identify, maintain a representation of value as expressed in a given currency.</t>
  </si>
  <si>
    <t>Monetary Amount Definition</t>
  </si>
  <si>
    <t>Ability to create a monetary amount.</t>
  </si>
  <si>
    <t>Monetary Amount Type Management</t>
  </si>
  <si>
    <t>Ability to define and maintain the classification and categories of a monetary amount.</t>
  </si>
  <si>
    <t>Monetary Amount State Management</t>
  </si>
  <si>
    <t>Ability to define and maintain the various conditions or state that apply to monetary amounts.</t>
  </si>
  <si>
    <t>Monetary Amount Matching</t>
  </si>
  <si>
    <t>Ability to match a monetary amount to a financial transaction.</t>
  </si>
  <si>
    <t>Ability to match a monetary amount to a financial account.</t>
  </si>
  <si>
    <t>Ability to match a monetary amount to a payment.</t>
  </si>
  <si>
    <t>Ability to match a monetary amount to a currency.</t>
  </si>
  <si>
    <t>Ability to match a monetary amount to taxation(s).</t>
  </si>
  <si>
    <t>Financial Account Matching</t>
  </si>
  <si>
    <t>Ability to associate financial accounts with other business objects.</t>
  </si>
  <si>
    <t>Ability to associate a financial account with a policy.</t>
  </si>
  <si>
    <t>Ability to associate a financial account with a financial account.</t>
  </si>
  <si>
    <t>Ability to associate a financial account with a partner.</t>
  </si>
  <si>
    <t>Ability to associate a financial account with a location.</t>
  </si>
  <si>
    <t>Ability to associate a financial account with a business entity.</t>
  </si>
  <si>
    <t>Ability to assess and determine financial exposures associated with outside incursions or possible sources of danger.</t>
  </si>
  <si>
    <t>Financial Vulnerability Determination</t>
  </si>
  <si>
    <t>Ability to assess and determine financial exposures associated with internal weaknesses or susceptibilities.</t>
  </si>
  <si>
    <t>Ability to determine, represent, and value an agreed medium of value exchange.</t>
  </si>
  <si>
    <t>Ability to determine, calculate, remit, or report on the compulsory contribution of monetary value to governing bodies.</t>
  </si>
  <si>
    <t>Ability to recognize and identify a given tax for purposes of analysis and ultimately compliance.</t>
  </si>
  <si>
    <t>Ability to set and recognize a given tax category.</t>
  </si>
  <si>
    <t>Ability to set and recognize tax status, including being a past, present, or future tax.</t>
  </si>
  <si>
    <t>Ability to determine, approve, commit, execute, record, or report on an obligation to remit or receive a monetary amount between an organization and a customer, partner, or other external party.</t>
  </si>
  <si>
    <t>Ability to set and recognize payment status including determination of a payment pending, communicated, paid, or overdue.</t>
  </si>
  <si>
    <t>Ability to set and determine payment category, including outbound, inbound, or other classes or subclasses.</t>
  </si>
  <si>
    <t>Ability to calculate and recognize a specific value associated with a payment.</t>
  </si>
  <si>
    <t>Finance Access Management</t>
  </si>
  <si>
    <t>Ability to establish, control, restrict, and administer rights to view, use, or change finances in a variety of contexts.</t>
  </si>
  <si>
    <t>Ability to identify, track, validate, report on, or otherwise administer descriptive information related to an organization's finances.</t>
  </si>
  <si>
    <t>Ability to assess, mentor, compensate, terminate, and otherwise coordinate individuals who have, plan to have, or have had a legal agreement with the organization, which includes compensation and other benefits, on a temporary or permanent basis.</t>
  </si>
  <si>
    <t>Human Resource Authentication and Authorization</t>
  </si>
  <si>
    <t>Human Resource Authentication and Authorization Determination</t>
  </si>
  <si>
    <t>Human Resource Authentication and Authorization Assignment </t>
  </si>
  <si>
    <t>Human Resource Authentication and Authorization Enforcement</t>
  </si>
  <si>
    <t>Ability to verify, impose, apply, and administer access by a human resource.</t>
  </si>
  <si>
    <t>Ability to determine how well a human resource is meeting objectives and expectations.</t>
  </si>
  <si>
    <t>Human Resource Performance Threshold Setting</t>
  </si>
  <si>
    <t>Ability to determine targeted upper and lower levels of a human resource’s performance.</t>
  </si>
  <si>
    <t>Human Resource Performance Threshold Measurement</t>
  </si>
  <si>
    <t>Ability to determine if a human resource is exceeding or falling short of acceptable levels of performance.</t>
  </si>
  <si>
    <t>Human Resource Performance Constraints Determination</t>
  </si>
  <si>
    <t>Ability to assess what is causing a human resource to underperform.</t>
  </si>
  <si>
    <t>Human Resource Preference Interpretation</t>
  </si>
  <si>
    <t>Ability to define, negotiate, offer, manage, and approve monetary and non-monetary value in exchange for the work done and role played.</t>
  </si>
  <si>
    <t>Human Resource Risk Management</t>
  </si>
  <si>
    <t>Ability to identify, assess, aggregate, articulate, and incorporate various exposures to harm, danger, or loss associated with a given human resource.</t>
  </si>
  <si>
    <t>Ability to associate human resources with a plan that would include, for example, a career plan for a person.</t>
  </si>
  <si>
    <t>Ability to articulate, organize, identify, track, validate, or otherwise administer descriptive, identifying information about a human resource and its relationships.</t>
  </si>
  <si>
    <t>Ability to leverage various calculations to derive analytics for human resources within the organization.</t>
  </si>
  <si>
    <t>Ability to define, assign, resolve, and track an issue involving an organization's assets, products, or operations.</t>
  </si>
  <si>
    <t>Incident Root Cause Determination</t>
  </si>
  <si>
    <t>Ability to assess, track down, and articulate the initiating source of an incident.</t>
  </si>
  <si>
    <t>Ability to consider a collective set of risk factors about an incident and represent them from a rationalized perspective.</t>
  </si>
  <si>
    <t>Incident/Meeting Matching</t>
  </si>
  <si>
    <t>Ability to identify, record, and represent a chronological order of events and actions associated with an incident.</t>
  </si>
  <si>
    <t>Ability to define, organize, structure, secure, protect, and disseminate facts, statistics, attributes, and other types of data about an organization’s set of business objects.</t>
  </si>
  <si>
    <t>Ability to ensure that information is correct, accurate, and meaningful.</t>
  </si>
  <si>
    <t>Ability to define and impose limitations of access rights to given information.</t>
  </si>
  <si>
    <t>Ability to alter, convert, renovate, or otherwise change information in accordance with a given plan or pattern.</t>
  </si>
  <si>
    <t>Ability to track, control, and interpret the status of information from a multitude of known dimensions and conditions.</t>
  </si>
  <si>
    <t xml:space="preserve">Ability to identify, record, and represent a chronological order of events and actions associated with information over time. </t>
  </si>
  <si>
    <t>Ability to consider a collective set of risk factors about an inquiry and represent them from a rationalized perspective.</t>
  </si>
  <si>
    <t>Inquiry/Meeting Matching</t>
  </si>
  <si>
    <t>Ability to articulate, organize, identify, track, validate, or otherwise administer descriptive, identifying information about a inquiry and its relationships.</t>
  </si>
  <si>
    <t>Ability to identify, record, and represent a chronological order of events and actions associated with an inquiry.</t>
  </si>
  <si>
    <t>Ability to identify, define, assign, and manage named category of accountabilities, whether remunerative or non-remunerative, associated with an assigned, specific, and accountable business duty, role, or function that can be executed by a human or non-human resource.</t>
  </si>
  <si>
    <t>Job Compensation Management</t>
  </si>
  <si>
    <t xml:space="preserve">Ability to establish a compensation range and compensation criteria for a given job.  </t>
  </si>
  <si>
    <t>Ability to determine how well a job is meeting specification and objective levels or delivering against design.</t>
  </si>
  <si>
    <t>Ability to consider a collective set of risk factors about a job and represent them from a rationalized perspective.</t>
  </si>
  <si>
    <t>Ability to associate and coordinate a job with other jobs.</t>
  </si>
  <si>
    <t>Job/Location Matching</t>
  </si>
  <si>
    <t>Ability to articulate, organize, identify, track, validate, or otherwise administer descriptive, identifying information about a job and its relationships.</t>
  </si>
  <si>
    <t>Ability to identify, record, and represent a chronological order of events and actions associated with a job.</t>
  </si>
  <si>
    <t>Ability to direct, administer, oversee, respond to, and generally administer all aspects of work related to, an activity invoking the power of a tribunal to enforce a law.</t>
  </si>
  <si>
    <t>Ability to establish, declare, and identify a legal proceeding.</t>
  </si>
  <si>
    <t>Legal Proceeding Access Management</t>
  </si>
  <si>
    <t>Ability to establish, control, restrict, and administer rights to view, use, or change information related to a legal proceeding.</t>
  </si>
  <si>
    <t>Legal Proceeding Valuation</t>
  </si>
  <si>
    <t>Ability to assess a legal proceeding and to assign a monetary value to it, either positive or negative.</t>
  </si>
  <si>
    <t>Legal Proceeding Risk Definition</t>
  </si>
  <si>
    <t>Ability to identify and define the level of risk associated with a legal proceeding.</t>
  </si>
  <si>
    <t>Ability to associate a legal proceeding with intellectual property linked to that proceeding.</t>
  </si>
  <si>
    <t>Ability to associate a legal proceeding with decisions linked to that proceeding.</t>
  </si>
  <si>
    <t>Ability to associate a legal proceeding with an agreement.</t>
  </si>
  <si>
    <t>Ability to associate a legal proceeding with a customer.</t>
  </si>
  <si>
    <t>Ability to associate a legal proceeding with a partner.</t>
  </si>
  <si>
    <t>Ability to associate a legal proceeding with a location.</t>
  </si>
  <si>
    <t xml:space="preserve">Ability to associate a legal proceeding with a specific event, meeting, hearing, or other occurrence concerning a legal proceeding.
</t>
  </si>
  <si>
    <t>Ability to articulate, organize, identify, track, validate, or otherwise administer descriptive, identifying information about a legal proceeding and its relationships.</t>
  </si>
  <si>
    <t>Ability to define, calculate, articulate, determine, disseminate, or otherwise track a position or site.</t>
  </si>
  <si>
    <t>Ability to consider a collective set of risk factors about a location and represent them from a rationalized perspective.</t>
  </si>
  <si>
    <t>Ability to articulate, organize, identify, track, validate, or otherwise administer descriptive, identifying information about a location and its relationships.</t>
  </si>
  <si>
    <t>Ability to identify, record, and represent a chronological order of events and actions associated with a location.</t>
  </si>
  <si>
    <t>Ability to organize, plan, direct, and communicate progress against a coordinated collection of temporary endeavors undertaken to create a unique outcome.</t>
  </si>
  <si>
    <t>Program Definition</t>
  </si>
  <si>
    <t>Ability to consider a collective set of risk factors about a program and represent them from a rationalized perspective.</t>
  </si>
  <si>
    <t>Ability to determine how well a program is meeting specification and objective levels or delivering against plan.</t>
  </si>
  <si>
    <t>Program/Policy Matching</t>
  </si>
  <si>
    <t>Ability to associate a program with a policy.</t>
  </si>
  <si>
    <t>Ability to articulate, organize, identify, track, validate, or otherwise administer descriptive, identifying information about a program and its relationships.</t>
  </si>
  <si>
    <t>Ability to identify, record, and represent a chronological order of events and actions associated with a program.</t>
  </si>
  <si>
    <t>Ability to define objectives, subject matter, criteria, and methodology for training content.</t>
  </si>
  <si>
    <t>Ability to design and create training materials and related content.</t>
  </si>
  <si>
    <t>Training/Policy Matching</t>
  </si>
  <si>
    <t>Ability to articulate, organize, identify, track, validate, or otherwise administer descriptive, identifying information about training and its relationships.</t>
  </si>
  <si>
    <t>Work Management</t>
  </si>
  <si>
    <t>Ability to capture, organize, prioritize, route, interpret, disseminate, assign, and administer tasks, inbound requests, schedules, time, work events, and related decisions.</t>
  </si>
  <si>
    <t>Work Item Management</t>
  </si>
  <si>
    <t>Ability to define, track, route, prioritize, determine the state of, fulfill, and assess the performance of a defined, well-bounded task that may be assigned to a stakeholder or corresponding asset.</t>
  </si>
  <si>
    <t>Work Item Routing</t>
  </si>
  <si>
    <t>Work Item Location Targeting</t>
  </si>
  <si>
    <t>Work Item Multi-Location Routing</t>
  </si>
  <si>
    <t>Work Item Workload Balancing</t>
  </si>
  <si>
    <t>Work Item Matching</t>
  </si>
  <si>
    <t>Ability to associate a work item with a job.</t>
  </si>
  <si>
    <t>Ability to associate a work item with an asset.</t>
  </si>
  <si>
    <t>Ability to associate a work item with a policy.</t>
  </si>
  <si>
    <t>Work Queue Management</t>
  </si>
  <si>
    <t>Work Queue Definition</t>
  </si>
  <si>
    <t>Work Queue Prioritization</t>
  </si>
  <si>
    <t xml:space="preserve">Ability to associate a work queue with a human resource. </t>
  </si>
  <si>
    <t>Time Management</t>
  </si>
  <si>
    <t>Ability to manage the indefinite continued progress of existence and events in the past, present, and future regarded as a whole in relation to work being performed.</t>
  </si>
  <si>
    <t>Schedule Management</t>
  </si>
  <si>
    <t>Start Time Management</t>
  </si>
  <si>
    <t>End Time Management</t>
  </si>
  <si>
    <t>Submission Management</t>
  </si>
  <si>
    <t>Ability to facilitate, capture, interpret, acknowledge, validate, route, and track inbound requests, communications, and other content.</t>
  </si>
  <si>
    <t>Submission Facilitation</t>
  </si>
  <si>
    <t>Submission Interpretation</t>
  </si>
  <si>
    <t>Submission Acknowledgement</t>
  </si>
  <si>
    <t>Submission Matching</t>
  </si>
  <si>
    <t>Submission/Message Matching</t>
  </si>
  <si>
    <t>Submission/Payment Matching</t>
  </si>
  <si>
    <t>Event Trigger Definition</t>
  </si>
  <si>
    <t>Ability to associate an event with other business objects.</t>
  </si>
  <si>
    <t>Event/Time Matching</t>
  </si>
  <si>
    <t xml:space="preserve">Ability to associate an event with the point in time in which it occurred. </t>
  </si>
  <si>
    <t>Ability to associate an event with where the event occurred.</t>
  </si>
  <si>
    <t>Ability to associate an event with the targeted action item that should result from the event being triggered.</t>
  </si>
  <si>
    <t>Decision Definition</t>
  </si>
  <si>
    <t>Ability to establish and identify a decision that has been or will be made.</t>
  </si>
  <si>
    <t>Decision Matching</t>
  </si>
  <si>
    <t>Decision/Decision Matching</t>
  </si>
  <si>
    <t xml:space="preserve">Ability to association a decision with a corresponding or otherwise related decision. </t>
  </si>
  <si>
    <t>Decision/Location Matching</t>
  </si>
  <si>
    <t xml:space="preserve">Ability to associate a decision with the location to which the decision pertains. </t>
  </si>
  <si>
    <t>Decision/Time Matching</t>
  </si>
  <si>
    <t>Ability to indicate the time at which a given decision was made.</t>
  </si>
  <si>
    <t>Authored Item Management</t>
  </si>
  <si>
    <t>Ability to define, construct, validate, edit, evolve, and disseminate formal written content that include reports, letters, emails, memos, and other forms of structured and unstructured text that target customers, partners, and other external and internal stakeholders.</t>
  </si>
  <si>
    <t>Authored Item Definition</t>
  </si>
  <si>
    <t>Unstructured Text Definition</t>
  </si>
  <si>
    <t>Structured Text Definition</t>
  </si>
  <si>
    <t>Authored Item Finalization</t>
  </si>
  <si>
    <t>Authored Item Matching</t>
  </si>
  <si>
    <t>Ability to associated authored items with other business objects.</t>
  </si>
  <si>
    <t xml:space="preserve">Ability to associate one authored item with another. </t>
  </si>
  <si>
    <t xml:space="preserve">Ability to associate an authored item with a location. </t>
  </si>
  <si>
    <t>Ability to indicate the time at which a given authored item was made or modified.</t>
  </si>
  <si>
    <t>Authored Item Information Management</t>
  </si>
  <si>
    <t>Ability to collect, organize, monitor, report on, or otherwise disseminate basic facts, statistics, attributes, and data about the authored item.</t>
  </si>
  <si>
    <t>Work Information Management</t>
  </si>
  <si>
    <t>Ability to collect, organize, monitor, report on, or otherwise disseminate basic facts, statistics, attributes, and data about work items, work queue, events, decisions, and submissions.</t>
  </si>
  <si>
    <t>Ability to establish and leverage identifying attributes associated with work items, work queues, decisions, events, and other aspects of work.</t>
  </si>
  <si>
    <t>Work Type Management</t>
  </si>
  <si>
    <t>Ability to determine, modify, and interpret the category or classification of a work item, work queue, time, submission, event, and decision.</t>
  </si>
  <si>
    <t>Work State Management</t>
  </si>
  <si>
    <t>Ability to determine, modify, and interpret the status or condition of a work item, work queue, time, submission, event, and decision.</t>
  </si>
  <si>
    <t>Ability to produce descriptive, prescriptive, and predictive metrics and measures related to work items, work queues, decisions, events, and other aspects of work.</t>
  </si>
  <si>
    <t>Ability to record, evolve, and interpret changes occurring over time associated with work items, work queues, decisions, events, and other aspects of work.</t>
  </si>
  <si>
    <t>Ability to articulate, establish, and create the brand in a manner which demonstrates to customers what it does, what it stands for and why it is different from its competitors.</t>
  </si>
  <si>
    <t>Ability to associate a brand with a business entity.</t>
  </si>
  <si>
    <t>Plan/Partner  Matching</t>
  </si>
  <si>
    <t>Plan/Product Matching</t>
  </si>
  <si>
    <t>Ability to associate a plan with a product.</t>
  </si>
  <si>
    <t>Ability to associate a goal with an objective.</t>
  </si>
  <si>
    <t>Ability to establish, organize, analyze, administer, and report on all aspects of a set of legally binding rights and obligations between two or more legal entities.</t>
  </si>
  <si>
    <t>Ability to associate an agreement with other business objects.</t>
  </si>
  <si>
    <t>Ability to conceptualize, design, develop, bundle, source, maintain, and retire a named combination of goods and services that can be offered to customers, in whole or in part, to satisfy the customer’s needs.</t>
  </si>
  <si>
    <t>Ability to match orders with an agreement.</t>
  </si>
  <si>
    <t>Ability to match orders with a customer.</t>
  </si>
  <si>
    <t>Ability to match orders with a channel.</t>
  </si>
  <si>
    <t>Ability to match orders with a market.</t>
  </si>
  <si>
    <t>Ability to match orders with a financial instrument.</t>
  </si>
  <si>
    <t>Ability to match orders with a financial transaction.</t>
  </si>
  <si>
    <t>Customer Portfolio Performance Management</t>
  </si>
  <si>
    <t>Agreement Portfolio Performance Management</t>
  </si>
  <si>
    <t>Partner Performance Management</t>
  </si>
  <si>
    <t>Human Resource Performance Management</t>
  </si>
  <si>
    <t>Work Item Performance Management</t>
  </si>
  <si>
    <t>Ability to associate human resources with a payment.</t>
  </si>
  <si>
    <t>Ability to associate an incident with other business objects.</t>
  </si>
  <si>
    <t>Incident Profile Management</t>
  </si>
  <si>
    <t>Ability to articulate, organize, identify, track, validate, or otherwise administer descriptive, identifying information about an incident.</t>
  </si>
  <si>
    <t xml:space="preserve">Ability to associate information with other business objects. </t>
  </si>
  <si>
    <t>Ability to associate an inquiry with other business objects.</t>
  </si>
  <si>
    <t>Ability to associate an inquiry with another inquiry.</t>
  </si>
  <si>
    <t>Ability to associate a legal proceeding with other business objects.</t>
  </si>
  <si>
    <t>Ability to associate training with a policy.</t>
  </si>
  <si>
    <t>Ability to associate a work item with other business objects.</t>
  </si>
  <si>
    <t>Ability to associate a submission with other business objects.</t>
  </si>
  <si>
    <t>Ability to associate a submission with a message.</t>
  </si>
  <si>
    <t>Ability to associate a submission with a payment.</t>
  </si>
  <si>
    <t>Ability to associate a submission with an authored item.</t>
  </si>
  <si>
    <t>Ability to associate a monetary amount with another business object.</t>
  </si>
  <si>
    <t>Ability to associate a brand with a policy that governs how the brand is created, used, disseminated, and managed by the organization.</t>
  </si>
  <si>
    <t>Ability to associate a campaign with a meeting.</t>
  </si>
  <si>
    <t>Information Concept</t>
  </si>
  <si>
    <t>Information Concept Category</t>
  </si>
  <si>
    <t>Information Concept Definition</t>
  </si>
  <si>
    <t>Information Concept Types</t>
  </si>
  <si>
    <t>Related Information Concepts</t>
  </si>
  <si>
    <t>Information Concept States</t>
  </si>
  <si>
    <t xml:space="preserve">Brand </t>
  </si>
  <si>
    <t>Primary</t>
  </si>
  <si>
    <t xml:space="preserve">A name, symbol, or design that identifies and differentiates products, offerings, or organizational identities.  </t>
  </si>
  <si>
    <t>Market, Product, Business Entity, Intellectual Property, Policy, Channel, Partner,  Campaign, Incident, Inquiry, Message</t>
  </si>
  <si>
    <t>Proposed, Accepted, Retired</t>
  </si>
  <si>
    <t xml:space="preserve">Business Entity </t>
  </si>
  <si>
    <t>Extant, Non-Extant, Temporary, In-Formation</t>
  </si>
  <si>
    <t xml:space="preserve">Campaign </t>
  </si>
  <si>
    <t>An outreach activity that targets a specific population, for example, customers, human resources, partners, and patients, to achieve a certain goal, such as marketing awareness, hiring activities, and health awareness.</t>
  </si>
  <si>
    <t>Internal, External</t>
  </si>
  <si>
    <t>Planned, Designed, Launched, In-Process, Completed, Terminated</t>
  </si>
  <si>
    <t xml:space="preserve">Intellectual Property </t>
  </si>
  <si>
    <t>Intangible assets that are inventions, patents, trademarks, trade secrets, copyrights, and know-how.</t>
  </si>
  <si>
    <t>Idea, Authored Item, Secret, Source Identifier</t>
  </si>
  <si>
    <t>Business Entity,  Product, Brand, Campaign, Legal Proceeding</t>
  </si>
  <si>
    <t>Developing (Pending), Completed</t>
  </si>
  <si>
    <t xml:space="preserve">Market </t>
  </si>
  <si>
    <t>Individuals, populations of individuals, or organizations constituting the demand for existing or future products and services.</t>
  </si>
  <si>
    <t>Regional, Conceptual, Locational, Non-Locational</t>
  </si>
  <si>
    <t>Latent, Explicit</t>
  </si>
  <si>
    <t xml:space="preserve">Message </t>
  </si>
  <si>
    <t>A verbal, written, recorded, or digitally-represented communication, including missives, notifications, alerts, and other internally or externally targeted communication about the organization's mission, products, plans, activities, and other focal points.</t>
  </si>
  <si>
    <t>Internal (Inbound), External (Outbound)</t>
  </si>
  <si>
    <t>Pending, Completed</t>
  </si>
  <si>
    <t xml:space="preserve">Policy </t>
  </si>
  <si>
    <t>A course or principle of action adopted or proposed by an organization.</t>
  </si>
  <si>
    <t>Formal, Informal, Temporary, Permanent</t>
  </si>
  <si>
    <t>Draft, Proposed, Adopted, Rescinded</t>
  </si>
  <si>
    <t xml:space="preserve">Plan </t>
  </si>
  <si>
    <t>An articulated direction, related work items, and priorities to further the organization's goals and objectives across organizational units and entities within or outside the organization.</t>
  </si>
  <si>
    <t>Strategic, Tactical, Operational</t>
  </si>
  <si>
    <t>Asset, Investment, Policy, Program, Strategy, Training, Campaign, Competency, Customer, Event, Facility, Human Resource, Job, Product</t>
  </si>
  <si>
    <t>Pending, Initiated, Completed, Terminated</t>
  </si>
  <si>
    <t xml:space="preserve">Research </t>
  </si>
  <si>
    <t>A systematic investigation into materials and sources to gather information.</t>
  </si>
  <si>
    <t>Primary, Secondary, Qualitative, Quantitative</t>
  </si>
  <si>
    <t>Planned, Ongoing, Concluded</t>
  </si>
  <si>
    <t xml:space="preserve">Strategy </t>
  </si>
  <si>
    <t>The pattern or plan that integrates an organization’s major goals, policies, and action sequences into a cohesive whole.</t>
  </si>
  <si>
    <t>Product, Market, Operation</t>
  </si>
  <si>
    <t>Goal</t>
  </si>
  <si>
    <t>Secondary</t>
  </si>
  <si>
    <t>An end toward which effort is or should be directed.</t>
  </si>
  <si>
    <t>Pending, Defined, Abandoned</t>
  </si>
  <si>
    <t>Objective</t>
  </si>
  <si>
    <t>A quantitative, measurable result that defines strategy.</t>
  </si>
  <si>
    <t>Financial, Operational, Organizational, Cultural</t>
  </si>
  <si>
    <t>Vision</t>
  </si>
  <si>
    <t>The purpose of the organization.</t>
  </si>
  <si>
    <t>[to be further contextualized by the Business verticals as needed]</t>
  </si>
  <si>
    <t>Agreement</t>
  </si>
  <si>
    <t>Bilateral, Unilateral, Express, Implied, Executed, Executory, Aleatory</t>
  </si>
  <si>
    <t>Pending, In Force, Terminated, Abandoned</t>
  </si>
  <si>
    <t>Channel</t>
  </si>
  <si>
    <t>A digital, analog, or physical conduit through which products, related services, or communications are delivered or received, including the Internet, phone, delivery service, satellite, radio, or physical means.</t>
  </si>
  <si>
    <t>Digital, Analog, Physical</t>
  </si>
  <si>
    <t>Partner, Policy, Product, Asset, Facility, Location</t>
  </si>
  <si>
    <t>Pending, Active, Retired</t>
  </si>
  <si>
    <t>A legal entity that has, plans to have, or has had an agreement with the organization, or is a recipient or beneficiary of the organization's products or services.</t>
  </si>
  <si>
    <t>Individual, Organization</t>
  </si>
  <si>
    <t>Potential, Actual, Past</t>
  </si>
  <si>
    <t>A legal entity that has, plans to have, or has had some degree of involvement with the organization.</t>
  </si>
  <si>
    <t>Supply, Distribution, Support</t>
  </si>
  <si>
    <t>Strategy, Plan, Program, Market, Product, Partner, Human Resource, Channel, Location</t>
  </si>
  <si>
    <t>Product</t>
  </si>
  <si>
    <t>The overall experience provided by the combination of goods and services to satisfy the customer's needs.</t>
  </si>
  <si>
    <t>Good, Service</t>
  </si>
  <si>
    <t>Product, Asset, Location</t>
  </si>
  <si>
    <t>Planned, Offered, Discontinued</t>
  </si>
  <si>
    <t>Financial Instrument</t>
  </si>
  <si>
    <t>Stock, Bond, Bill of Exchange, Future, Option, Evidence of Ownership, Cash</t>
  </si>
  <si>
    <t>Pending, Issued, Matured/Expired</t>
  </si>
  <si>
    <t>Order</t>
  </si>
  <si>
    <t>A request by one party to another to buy, sell, or exchange financial instruments or other goods or services.</t>
  </si>
  <si>
    <t>Buy, Sell, Exchange</t>
  </si>
  <si>
    <t>Agreement, Customer, Financial Transaction, Financial Instrument, Information, Partner, Product</t>
  </si>
  <si>
    <t>Pending, Executed, Expired, Cancelled</t>
  </si>
  <si>
    <t>Investment</t>
  </si>
  <si>
    <t>Any type of monetary asset purchased with the idea that the asset will provide income in the future or will be sold at a higher price for a profit.</t>
  </si>
  <si>
    <t>Financial Instrument, Property</t>
  </si>
  <si>
    <t>Pending/Planned/Considered, Purchased/Acquired, Sold/Matured/Expired</t>
  </si>
  <si>
    <t>Collateral</t>
  </si>
  <si>
    <t>Real-Estate, Financial Instrument, Property</t>
  </si>
  <si>
    <t>Vested, Secured, Pledged, Accepted</t>
  </si>
  <si>
    <t>Currency</t>
  </si>
  <si>
    <t>An agreed medium of value exchange.</t>
  </si>
  <si>
    <t>Historical (Retired), Current (In-Use), Future/Intended/Planned</t>
  </si>
  <si>
    <t>Financial Account</t>
  </si>
  <si>
    <t>A named container of monetary value transactions that are typically organized into assets, liabilities, income, expense, equity, and other related categories.</t>
  </si>
  <si>
    <t>Pending, Open/Current, Closed, Suspended/Frozen</t>
  </si>
  <si>
    <t>Financial Forecast</t>
  </si>
  <si>
    <t>A prediction of a future financial aspect of the organization.</t>
  </si>
  <si>
    <t>Straight-Line, Moving Average, Linear Regression, Multiple Linear Regression</t>
  </si>
  <si>
    <t>Current, Historical, Being-Prepared, Prepared/Completed</t>
  </si>
  <si>
    <t>Financial Transaction</t>
  </si>
  <si>
    <t>An instance of a monetary amount movement or related exchange across businesses, agreements, or financial accounts.</t>
  </si>
  <si>
    <t>Sale, Purchase, Receipt, Payment, Deposit, Withdrawal</t>
  </si>
  <si>
    <t>Historical/Executed, Pending/Current, Rejected, Cancelled</t>
  </si>
  <si>
    <t>Monetary Amount</t>
  </si>
  <si>
    <t>A representation of value as expressed in a given currency.</t>
  </si>
  <si>
    <t>Negative, Positive, Zero</t>
  </si>
  <si>
    <t>Determined/Actual/Known, Estimated, Undetermined/Unknown</t>
  </si>
  <si>
    <t>Payment</t>
  </si>
  <si>
    <t>An obligation to remit or receive a monetary amount between an organization and a customer, partner, or other external party.</t>
  </si>
  <si>
    <t>Inbound, Outbound</t>
  </si>
  <si>
    <t>Paid (Received), Unpaid (Not Received), Cancelled, In-Flight</t>
  </si>
  <si>
    <t>Tax</t>
  </si>
  <si>
    <t>A compulsory contribution of monetary value to governing bodies.</t>
  </si>
  <si>
    <t>Income, Sales, Property</t>
  </si>
  <si>
    <t>Action Item</t>
  </si>
  <si>
    <t>A specific course to be taken to achieve an objective.</t>
  </si>
  <si>
    <t>Proposed, Pending, Initiated, Closed, Rejected</t>
  </si>
  <si>
    <t xml:space="preserve">Asset </t>
  </si>
  <si>
    <t xml:space="preserve">Primary </t>
  </si>
  <si>
    <t>Tangible or intangible property.</t>
  </si>
  <si>
    <t>Tangible, Intangible</t>
  </si>
  <si>
    <t xml:space="preserve">Agreement, Business Entity, Customer, Event, Facility, Incident, Inquiry, Investment, Job, Location, Message, Partner, Plan, Product, Program
</t>
  </si>
  <si>
    <t>Requested, In-Preparation, In-Use, Retired, Disposed</t>
  </si>
  <si>
    <t xml:space="preserve">Competency </t>
  </si>
  <si>
    <t>The skills and knowledge necessary to do something.</t>
  </si>
  <si>
    <t>Identified, Developing, Achieved, Dated</t>
  </si>
  <si>
    <t>Meeting</t>
  </si>
  <si>
    <t xml:space="preserve">A gathering of two or more persons at a determinable time and place, including physical and virtual meetings, conferences, or related gatherings. </t>
  </si>
  <si>
    <t>Asset, Campaign, Customer, Facility, Human Resource, Incident, Inquiry, Location, Market, Message, Partner, Plan, Product, Program, Schedule, Strategy, Training</t>
  </si>
  <si>
    <t>Planned, In-Progress, Past</t>
  </si>
  <si>
    <t xml:space="preserve">Facility </t>
  </si>
  <si>
    <t>A physical structure at a given place where business is conducted.</t>
  </si>
  <si>
    <t>Manufacturing, Office, Storage, Services, Sales</t>
  </si>
  <si>
    <t>Agreement, Asset, Event, Human Resource, Location, Plan, Policy</t>
  </si>
  <si>
    <t>In-Service, Not-in-Service</t>
  </si>
  <si>
    <t xml:space="preserve">Human Resource </t>
  </si>
  <si>
    <t>An individual who has, plans to have, or has had a legal agreement with the organization, which includes compensation and other benefits, on a temporary or permanent basis.</t>
  </si>
  <si>
    <t>Contractor, Employee</t>
  </si>
  <si>
    <t>Competency, Customer, Event, Facility, Incident, Inquiry, Job, Legal Proceeding, Location, Message, Partner, Payment, Plan, Policy, Program, Research, Work Item</t>
  </si>
  <si>
    <t>Former, Current, Future</t>
  </si>
  <si>
    <t xml:space="preserve">Incident </t>
  </si>
  <si>
    <t>An issue involving an organization's assets, products, or operations.</t>
  </si>
  <si>
    <t>Critical/Severe, Emergency, Major, Minor</t>
  </si>
  <si>
    <t>Agreement, Asset, Brand, Channel, Customer, Event, Financial Transaction, Human Resource, Inquiry, Legal Proceeding, Message, Partner, Policy, Product, Program, Strategy, Work</t>
  </si>
  <si>
    <t>Imminent, Ongoing, Past</t>
  </si>
  <si>
    <t xml:space="preserve">Inquiry </t>
  </si>
  <si>
    <t>A question, request, feedback, or comment that may exist inside or outside of the business, which can be received, identified, harvested, disseminated, classified, and tracked.</t>
  </si>
  <si>
    <t>Question, Feedback, Request</t>
  </si>
  <si>
    <t>Agreement, Asset, Brand, Channel, Customer, Event, Financial Account, Financial Transaction, Human Resource, Incident, Message, Partner, Policy, Product, Program, Research, Strategy, Work</t>
  </si>
  <si>
    <t>Current, Resolved</t>
  </si>
  <si>
    <t xml:space="preserve">Job </t>
  </si>
  <si>
    <t>A named category of accountabilities, whether remunerative or non-remunerative, associated with an assigned, specific, and accountable business duty, role, or function that can be executed by a human or non-human resource.</t>
  </si>
  <si>
    <t>Agreement, Asset, Business Entity, Campaign, Competency, Human Resource, Plan, Policy, Research, Strategy</t>
  </si>
  <si>
    <t>Open, Closed</t>
  </si>
  <si>
    <t xml:space="preserve">Legal Proceeding </t>
  </si>
  <si>
    <t>An activity invoking the power of a tribunal to enforce a law.</t>
  </si>
  <si>
    <t>Civil, Criminal, Administrative</t>
  </si>
  <si>
    <t>Agreement, Customer, Decision, Human Resource, Incident, Information, Intellectual Property, Message, Partner, Policy, Research, Strategy</t>
  </si>
  <si>
    <t>Pending, Ongoing, Past</t>
  </si>
  <si>
    <t xml:space="preserve">Location </t>
  </si>
  <si>
    <t>A position or site.</t>
  </si>
  <si>
    <t>Point, Area, Space</t>
  </si>
  <si>
    <t>Asset, Campaign, Channel, Customer, Event, Facility, Human Resource, Location, Market, Partner, Policy</t>
  </si>
  <si>
    <t>Known, Unknown</t>
  </si>
  <si>
    <t xml:space="preserve">Program </t>
  </si>
  <si>
    <t>A coordinated collection of temporary endeavors undertaken to create a unique outcome.</t>
  </si>
  <si>
    <t>Asset, Campaign, Customer, Event, Financial Account, Human Resource, Incident, Inquiry, Investment, Message, Partner, Plan, Policy, Research, Schedule, Strategy, Training</t>
  </si>
  <si>
    <t>Proposed, In-Flight, Paused, Completed, Cancelled</t>
  </si>
  <si>
    <t xml:space="preserve">Training </t>
  </si>
  <si>
    <t>The structured content and knowledge in consumable format, associated with a curriculum, a course, workshop, seminar, or related content.</t>
  </si>
  <si>
    <t>Course, Curriculum, Seminar, Workshop</t>
  </si>
  <si>
    <t>Business Entity, Event, Facility, Human Resource, Location, Schedule</t>
  </si>
  <si>
    <t>Preparatory, Ongoing, Completed</t>
  </si>
  <si>
    <t>Work</t>
  </si>
  <si>
    <t>Tasks, inbound requests, schedules, time, work events, and related decisions.</t>
  </si>
  <si>
    <t>Decision</t>
  </si>
  <si>
    <t>A conclusion or resolution reached after considering alternative options.</t>
  </si>
  <si>
    <t>Binding, Provisional</t>
  </si>
  <si>
    <t>Under-Deliberation, Determined</t>
  </si>
  <si>
    <t>Authored Item</t>
  </si>
  <si>
    <t>Formal written content that include reports, letters, emails, memos, and other forms of structured and unstructured text that target customers, partners, and other external and internal stakeholders.</t>
  </si>
  <si>
    <t>Structured, Unstructured</t>
  </si>
  <si>
    <t>In-Development, Developed</t>
  </si>
  <si>
    <t>Event</t>
  </si>
  <si>
    <t>A situation or an occurrence.</t>
  </si>
  <si>
    <t>Planned, Unplanned</t>
  </si>
  <si>
    <t>Past, In-Progress, Future</t>
  </si>
  <si>
    <t>Schedule</t>
  </si>
  <si>
    <t>An aggregation of times, dates, and milestones.</t>
  </si>
  <si>
    <t>Public, Private</t>
  </si>
  <si>
    <t>Submission</t>
  </si>
  <si>
    <t>Inbound requests, communications, and other content.</t>
  </si>
  <si>
    <t>Solicited, Unsolicited</t>
  </si>
  <si>
    <t>Incomplete, Complete</t>
  </si>
  <si>
    <t>Time</t>
  </si>
  <si>
    <t>The indefinite continued progress of existence and events in the past, present, and future regarded as a whole in relation to work being performed.</t>
  </si>
  <si>
    <t>Duration, Elapsed Time, Persistence</t>
  </si>
  <si>
    <t>Historical, Current, Projected</t>
  </si>
  <si>
    <t>Work Item</t>
  </si>
  <si>
    <t>A defined, well-bounded task that may be assigned to a stakeholder or corresponding asset.</t>
  </si>
  <si>
    <t>Mental, Physical</t>
  </si>
  <si>
    <t>Open, In-Progress, Completed</t>
  </si>
  <si>
    <t>Work Queue</t>
  </si>
  <si>
    <t>Tasks to be processed by an individual or an automated system.</t>
  </si>
  <si>
    <t>Independent, Dependent</t>
  </si>
  <si>
    <t>Investment, Financial Account, Monetary Amount</t>
  </si>
  <si>
    <t>Market Access Management</t>
  </si>
  <si>
    <t>Message Access Management</t>
  </si>
  <si>
    <t xml:space="preserve">Ability to restrict or allow the viewing or modification of a message.  </t>
  </si>
  <si>
    <t>Research Access Management</t>
  </si>
  <si>
    <t xml:space="preserve">Ability to restrict or allow the viewing, sharing, or modification of research.  </t>
  </si>
  <si>
    <t>Financial Instrument Definition</t>
  </si>
  <si>
    <t>Ability to establish, declare, and identify a financial instrument.</t>
  </si>
  <si>
    <t>Order Access Management</t>
  </si>
  <si>
    <t>Order Risk Management</t>
  </si>
  <si>
    <t>Ability to establish, control, restrict, and administer rights to view, use, or change an order.</t>
  </si>
  <si>
    <t>Ability to identify, assess, aggregate, articulate, and incorporate various exposures to harm, danger, or loss associated with an order.</t>
  </si>
  <si>
    <t>Financial Forecast Management</t>
  </si>
  <si>
    <t>Ability to establish and adjust a prediction of a future financial aspect of the organization based on, but not limited to, history and market trends.</t>
  </si>
  <si>
    <t>Ability to authorize, handle, record, and apply an instance of a monetary amount movement or related exchange across businesses, agreements, or financial accounts.</t>
  </si>
  <si>
    <t>Ability to associate a financial forecast with a business entity for a portion of an organization or to the organization as a whole.</t>
  </si>
  <si>
    <t>Program Access Management</t>
  </si>
  <si>
    <t>Ability to allow or constrain anyone or anything from viewing, sharing, or modifying a program.</t>
  </si>
  <si>
    <t>Work Queue Access Management</t>
  </si>
  <si>
    <t xml:space="preserve">Ability to allow or restrict access to a work queue. </t>
  </si>
  <si>
    <t>Work Item Access Management</t>
  </si>
  <si>
    <t>Ability to establish, modify, and interpret a legally enforceable condition set forth within the bounds of an agreement.</t>
  </si>
  <si>
    <t>Agreement Term</t>
  </si>
  <si>
    <t>Monetary aspects and resources.</t>
  </si>
  <si>
    <t>Policy, Financial Account, Partner, Location, Business Entity</t>
  </si>
  <si>
    <t>Permanent, Temporary</t>
  </si>
  <si>
    <t>Competency, Human Resource, Work Queue, Channel, Submission, Event, Job, Asset, Policy</t>
  </si>
  <si>
    <t>Decision, Location, Time</t>
  </si>
  <si>
    <t>Authored Item, Location, Time</t>
  </si>
  <si>
    <t>Time, Location, Action Item</t>
  </si>
  <si>
    <t>Message, Payment, Authored Item</t>
  </si>
  <si>
    <t>Agreement Term Management</t>
  </si>
  <si>
    <t xml:space="preserve">The business architecture reference model contained herein represents a basic business architecture for a financial services institution. This reference model includes capabilities specific to a financial institution as well as commonly used strategic and supporting capabilities, a set of value streams, an information map, an organization map, and a stakeholder map. This reference model is a work-in-progress and will continue to evolve based on Guild member contributions. </t>
  </si>
  <si>
    <t>Financial Services, Business Architecture Reference Model Version 2.0</t>
  </si>
  <si>
    <t>Ability to identify, record, and represent a chronological order of events and actions associated with research.</t>
  </si>
  <si>
    <t>Ability to allow or restrict entry and participation in a given market.</t>
  </si>
  <si>
    <t>Ability to define and disseminate an integrated pattern and perspective that aligns an organization’s goals, objectives, and action sequences into a cohesive whole.</t>
  </si>
  <si>
    <t>Ability to establish, use, sustain, disseminate, and analyze a gathering of two or more persons at a determinable time and place, including physical and virtual engagements, conferences, or related gatherings.</t>
  </si>
  <si>
    <t>Agreement Standard Term Definition</t>
  </si>
  <si>
    <t>Agreement Custom Term Definition</t>
  </si>
  <si>
    <t>Agreement Term Finalization</t>
  </si>
  <si>
    <t>Ability to associate an agreement term with a given policy that may constrain or impact that term.</t>
  </si>
  <si>
    <t>Market Analytics Management</t>
  </si>
  <si>
    <t>Ability to associate intellectual property with a business entity that owns or manages the intellectual property.</t>
  </si>
  <si>
    <t>Ability to understand and be able to explain the meaning and impacts of policy and its applicability to the organization or external parties.</t>
  </si>
  <si>
    <t>Ability to manage a question, request, feedback, or comment that may exist inside or outside of the organization which can be received, identified, harvested, disseminated, classified, and tracked.</t>
  </si>
  <si>
    <t>Ability to determine if an organization is conforming to a policy or policies at a specific level, as dictated by the forces governing conformance to those policies.</t>
  </si>
  <si>
    <t>Ability to create or recognize and identify a specific instance of a situation or occurrence within an organization.</t>
  </si>
  <si>
    <t>Ability to establish the existence of a partner for the purposes of engaging with that partner on an ongoing basis.</t>
  </si>
  <si>
    <t>Currency Type Management</t>
  </si>
  <si>
    <t>Ability to set and recognize a given currency category.</t>
  </si>
  <si>
    <t>Currency State Management</t>
  </si>
  <si>
    <t>Ability to set and recognize currency status, including being a past, present, or future currency.</t>
  </si>
  <si>
    <t>Submission Access Management</t>
  </si>
  <si>
    <t>Ability to allow or restrict access to a submission.</t>
  </si>
  <si>
    <t>Condition, Warranty, Innominate</t>
  </si>
  <si>
    <t>Policy, Time, Location</t>
  </si>
  <si>
    <t>Investment, Job, Asset, Brand, Incident, Inquiry, Market, Message, Financial Forecast</t>
  </si>
  <si>
    <t>Agreement, Financial Account, Monetary Amount, Strategy, Plan, Asset, Payment, Policy, Research</t>
  </si>
  <si>
    <t>Strategy, Research, Market, Policy</t>
  </si>
  <si>
    <t>Objective, Action Item</t>
  </si>
  <si>
    <t>Strategy, Policy</t>
  </si>
  <si>
    <t>Agreement, Financial Account, Payment, Monetary Amount, Order, Investment, Channel, Customer, Partner, Asset</t>
  </si>
  <si>
    <t>Financial Transaction, Financial Account, Payment, Currency, Tax</t>
  </si>
  <si>
    <t>An individual that gathers, reviews, analyzes, and reports on the financial, legal, or other records of the organization, on behalf of the organization.</t>
  </si>
  <si>
    <t>Users of this template should refer to the capability mapping section of the BIZBOK® Guide. Heat mapping (effectiveness) and impact ratings are defined in BIZBOK® Guide section 3.7 that discusses performance management.</t>
  </si>
  <si>
    <t>Ability to establish, organize, analyze, administer, and report on all aspects of a name, symbol, or design that identifies and differentiates products, offerings, or organizational identities.</t>
  </si>
  <si>
    <t>Ability to administer, valuate, and report on a tradable asset, such as stocks, bonds, bills of exchange, futures, options, evidence of ownership, and cash.</t>
  </si>
  <si>
    <t xml:space="preserve">A legally enforceable condition set forth within the bounds of an agreement. </t>
  </si>
  <si>
    <t>Handles planning, organizing, leading, and controlling the activities of an organization in order to minimize the effects of risk on the organization's capital and earnings. ERM is the aggregate of operational, credit, market, and liquidity risk insights.</t>
  </si>
  <si>
    <t>Onboard Partner</t>
  </si>
  <si>
    <t>The end-to-end perspective of identifying and commencing business with other organizations for mutual benefit.</t>
  </si>
  <si>
    <t>The delivery of goods and/or services that the organization chooses to deliver through others.</t>
  </si>
  <si>
    <t xml:space="preserve">Partnering Officer, Partner
</t>
  </si>
  <si>
    <t>Identify Need</t>
  </si>
  <si>
    <t>The act of defining the business requirements for goods and services that cannot be obtained internally.</t>
  </si>
  <si>
    <t>Problem or opportunity defined</t>
  </si>
  <si>
    <t>Need identified</t>
  </si>
  <si>
    <t>Identified need.</t>
  </si>
  <si>
    <t>Partnering Officer</t>
  </si>
  <si>
    <t>Vet Potential Partner</t>
  </si>
  <si>
    <t>The act of validating that the potential partner is capable of delivering on the value proposition and meets ethical guidelines.</t>
  </si>
  <si>
    <t>Need and potential partner identified</t>
  </si>
  <si>
    <t>Partner vetted</t>
  </si>
  <si>
    <t>Vetted partner.</t>
  </si>
  <si>
    <t>Partnering Officer, Partner</t>
  </si>
  <si>
    <t>Negotiate Terms</t>
  </si>
  <si>
    <t>The act of reviewing and negotiating the terms of the contract including such things as cost, scope, and length of engagement.</t>
  </si>
  <si>
    <t>Finalized terms</t>
  </si>
  <si>
    <t>Terms finalized.</t>
  </si>
  <si>
    <t xml:space="preserve">Partnering Officer, Partner, Legal Officer
</t>
  </si>
  <si>
    <t>Formalize Agreement</t>
  </si>
  <si>
    <t>The act of reaching final agreement on the terms of the contract.</t>
  </si>
  <si>
    <t>Formalized agreement</t>
  </si>
  <si>
    <t>Agreement formalized.</t>
  </si>
  <si>
    <t>Induct Partner</t>
  </si>
  <si>
    <t>The act of onboarding the partner to make them familiar with how they are expected to engage with the organization.</t>
  </si>
  <si>
    <t>Onboarded partner</t>
  </si>
  <si>
    <t>Partner onboarded.</t>
  </si>
  <si>
    <t>Ability to establish, control, restrict, and administer rights to restrict or gain entry or visibility to a meeting.</t>
  </si>
  <si>
    <t xml:space="preserve">Ability to establish, control, restrict, and administer rights to restrict or gain visibility to a work item or modify that work item.  </t>
  </si>
  <si>
    <t>Note: Value Stream names are linked to the relevant value stream templates at the end of this document.</t>
  </si>
  <si>
    <t>Expressed interest to establish or update an agreement</t>
  </si>
  <si>
    <t>The act of receiving a request or responding to an offer of expressed interest in creating or updating an agreement and verifying the requester’s identity.</t>
  </si>
  <si>
    <t>Initiate Request</t>
  </si>
  <si>
    <t>Acquire Servicing Portfolio</t>
  </si>
  <si>
    <t>Initiate Servicing Acquisition 
Inquiry</t>
  </si>
  <si>
    <t>A buyer or seller is identified</t>
  </si>
  <si>
    <t xml:space="preserve">Conduct Servicing Portfolio Due Diligence </t>
  </si>
  <si>
    <t>Seller provides buyers required documentation</t>
  </si>
  <si>
    <t>Complete Servicing Portfolio Purchase Settlement</t>
  </si>
  <si>
    <t>Agreement terms drafted</t>
  </si>
  <si>
    <t>Assets to be serviced by new entity identified</t>
  </si>
  <si>
    <t>New servicing entity has incorporated assets into their processes and systems</t>
  </si>
  <si>
    <t>Financial Instrument Sales Advisor, Public Records Administrator, Quality Assurance Analyst, Trust Bank (Custodian), Operations Analyst</t>
  </si>
  <si>
    <t>Channel Manager, Product Manager, Financial Instrument Sales Advisor, Investment Manager, Agent</t>
  </si>
  <si>
    <t>Channel Manager, Product Manager, Financial Instrument Sales Advisor, Agent, Financial Instrument Sales Advisor, Investment Manager, Legal Counsel, Agent</t>
  </si>
  <si>
    <t>Customer Service Advisor, Quality Assurance Analyst, Operations Analyst</t>
  </si>
  <si>
    <t xml:space="preserve">The act of acquiring the servicing rights for a portfolio of loans that have been serviced by another servicer. </t>
  </si>
  <si>
    <t>Business Unit Level</t>
  </si>
  <si>
    <t>Business Unit</t>
  </si>
  <si>
    <t>Business Unit Type</t>
  </si>
  <si>
    <t>Enterprise</t>
  </si>
  <si>
    <t xml:space="preserve">Delivers comprehensive financial services to consumers and businesses. </t>
  </si>
  <si>
    <t>Business unit</t>
  </si>
  <si>
    <t>Ability to associate a brand with other relevant aspects of the organization that are impacted by, affected, or otherwise concerned with a brand.</t>
  </si>
  <si>
    <t>Ability to associate a brand with a particular message that has been constructed to convey or position an understanding of a product or service offering, the organization's beliefs and values, and about the people who work for the organization.</t>
  </si>
  <si>
    <t>Brand/Business Entity Matching</t>
  </si>
  <si>
    <t>Ability to identify, record, and represent a chronological order of events and actions associated with a brand.</t>
  </si>
  <si>
    <t>Business Entity/Investment Matching</t>
  </si>
  <si>
    <t>Business Entity/Decision Matching</t>
  </si>
  <si>
    <t>Business Entity/Job Matching</t>
  </si>
  <si>
    <t>Business Entity/Policy Matching</t>
  </si>
  <si>
    <t>Ability to define, establish, validate, value, obtain, or dispose of intangible assets that are inventions, patents, trademarks, trade secrets, copyrights, and know-how.</t>
  </si>
  <si>
    <t>Intellectual Property/Asset Matching</t>
  </si>
  <si>
    <t>Intellectual Property/Agreement Matching</t>
  </si>
  <si>
    <t>Intellectual Property/Product Matching</t>
  </si>
  <si>
    <t>Ability to identify, record, and represent a chronological order of events and actions associated with the market information.</t>
  </si>
  <si>
    <t>Message/Human Resource Matching</t>
  </si>
  <si>
    <t>Message/Financial Transaction Matching</t>
  </si>
  <si>
    <t>Message/Financial Account Matching</t>
  </si>
  <si>
    <t>Message/Legal Proceeding Matching</t>
  </si>
  <si>
    <t>Plan/Authored Item Matching</t>
  </si>
  <si>
    <t>Ability to identify, record, and represent a chronological order of events and actions associated with a plan.</t>
  </si>
  <si>
    <t>Policy/Authored Item Matching</t>
  </si>
  <si>
    <t>Strategy/Market Matching</t>
  </si>
  <si>
    <t xml:space="preserve">Ability to associate a strategy, an objective, or a goal with information. </t>
  </si>
  <si>
    <t>Ability to set specific agreement terms considering standard terms and risk.</t>
  </si>
  <si>
    <t>Ability to determine agreement terms that consider standard terms, custom terms, and customer or partner negotiations.</t>
  </si>
  <si>
    <t>Agreement/Human Resource Matching</t>
  </si>
  <si>
    <t>Ability to create approximations of the channel in order to determine feasibility and/or applicability of the channel.</t>
  </si>
  <si>
    <t>Ability to capture, represent, analyze, and act upon explicit or implicit inclinations, leanings, likings, predispositions, penchants, or options — expressed formally or informally — as determined or derived from a combination of sources and associated with an agreement.</t>
  </si>
  <si>
    <t>Ability to determine if the customer's product portfolio is meeting the threshold of customer-expressed desires and expectations.</t>
  </si>
  <si>
    <t>Ability to identify, engage, control, predict, organize, and collaborate with a legal entity that has, plans to have, or has had a legally binding agreement with the organization with the intent to exchange value in the provisioning of assets, services, products, or other means of assistance in the course of doing business.</t>
  </si>
  <si>
    <t>Ability to create approximations of the whole product, or particular parts, in order to determine feasibility and/or applicability of the product.</t>
  </si>
  <si>
    <t>Ability to create mock-ups of the whole product, or particular parts, in order to determine feasibility and/or applicability of the product.</t>
  </si>
  <si>
    <t>Ability to set and maintain a current price list (with ranges and optional terms) by product/customer type, including standard and special (promotional) pricing.</t>
  </si>
  <si>
    <t>Ability to associate financial instruments with one another.</t>
  </si>
  <si>
    <t>Ability to oversight order process activities including quoting, placement, settlement, cancellation, and exception management.</t>
  </si>
  <si>
    <t>Order/Financial Instrument Matching</t>
  </si>
  <si>
    <t>Order/Financial Transaction Matching</t>
  </si>
  <si>
    <t>Ability to associate an order with a partner. </t>
  </si>
  <si>
    <t>Ability to associate investment-related activities and information with other aspects of the business.</t>
  </si>
  <si>
    <t>Investment/Investment Portfolio Matching</t>
  </si>
  <si>
    <t>Investment Portfolio/Agreement Matching</t>
  </si>
  <si>
    <t>Investment Portfolio/Strategy Matching</t>
  </si>
  <si>
    <t>Investment Portfolio/Plan Matching</t>
  </si>
  <si>
    <t>Ability to articulate, organize, identify, track, validate, or otherwise administer descriptive, identifying information about an investment and its relationships.</t>
  </si>
  <si>
    <t>Financial Account/Policy Matching</t>
  </si>
  <si>
    <t>Financial Account/Partner Matching</t>
  </si>
  <si>
    <t>Financial Account/Location Matching</t>
  </si>
  <si>
    <t>Monetary Amount/Payment Matching</t>
  </si>
  <si>
    <t>Monetary Amount/Currency Matching</t>
  </si>
  <si>
    <t>Monetary Amount/Tax Matching</t>
  </si>
  <si>
    <t>Financial Transaction/Investment Matching</t>
  </si>
  <si>
    <t>Financial Transaction/Channel Matching</t>
  </si>
  <si>
    <t>Financial Transaction/Customer Matching</t>
  </si>
  <si>
    <t>Financial Transaction/Partner Matching</t>
  </si>
  <si>
    <t>Financial Transaction/Asset Matching</t>
  </si>
  <si>
    <t>Ability to define, track, and articulate the series of stages of an asset, between the time it was acquired or created until it is destroyed or disposed.</t>
  </si>
  <si>
    <t>Asset/Work Item Matching</t>
  </si>
  <si>
    <t>Asset/Human Resource Matching</t>
  </si>
  <si>
    <t>Asset/Business Entity Matching</t>
  </si>
  <si>
    <t>Meeting/Training Matching</t>
  </si>
  <si>
    <t>Human Resource/Payment Matching</t>
  </si>
  <si>
    <t>Human Resource/Plan Matching</t>
  </si>
  <si>
    <t>Human Resource/Job Matching</t>
  </si>
  <si>
    <t>Human Resource/Competency Matching</t>
  </si>
  <si>
    <t>Human Resource/Location Matching </t>
  </si>
  <si>
    <t>Human Resource/Research Matching</t>
  </si>
  <si>
    <t>Human Resource/Policy Matching</t>
  </si>
  <si>
    <t>Human Resource/Facility Matching </t>
  </si>
  <si>
    <t>Human Resource/Campaign Matching</t>
  </si>
  <si>
    <t>Human Resource/Partner Matching</t>
  </si>
  <si>
    <t>Ability to identify, record, and represent a chronological order of events and actions associated with a human resource.</t>
  </si>
  <si>
    <t>Incident/Financial Transaction Matching</t>
  </si>
  <si>
    <t>Incident/Financial Account Matching</t>
  </si>
  <si>
    <t>Incident/Legal Proceeding Matching</t>
  </si>
  <si>
    <t>Incident/Human Resource Matching</t>
  </si>
  <si>
    <t>Legal Proceeding/Policy Matching</t>
  </si>
  <si>
    <t>Legal Proceeding/Research Matching</t>
  </si>
  <si>
    <t>Legal Proceeding/Strategy Matching</t>
  </si>
  <si>
    <t>Legal Proceeding/Decision Matching</t>
  </si>
  <si>
    <t>Legal Proceeding/Agreement Matching</t>
  </si>
  <si>
    <t>Legal Proceeding/Customer Matching</t>
  </si>
  <si>
    <t>Legal Proceeding/Partner Matching</t>
  </si>
  <si>
    <t>Legal Proceeding/Location Matching</t>
  </si>
  <si>
    <t>Legal Proceeding/Meeting Matching</t>
  </si>
  <si>
    <t>Program/Authored Item Matching</t>
  </si>
  <si>
    <t>Program/Work Item Matching</t>
  </si>
  <si>
    <t>Program/Human Resource Matching</t>
  </si>
  <si>
    <t>Work Item/Competency Matching</t>
  </si>
  <si>
    <t>Work Item/Channel Matching</t>
  </si>
  <si>
    <t>Work Item/Submission Matching</t>
  </si>
  <si>
    <t>Work Item/Event Matching</t>
  </si>
  <si>
    <t>Work Item/Job Matching</t>
  </si>
  <si>
    <t>Work Item/Asset Matching</t>
  </si>
  <si>
    <t>Work Item/Policy Matching</t>
  </si>
  <si>
    <t>Submission/Authored Item Matching</t>
  </si>
  <si>
    <t>Event/Action Item Matching</t>
  </si>
  <si>
    <t>Authored Item/Location Matching</t>
  </si>
  <si>
    <t>Authored Item/Time Matching</t>
  </si>
  <si>
    <t>Name, Symbol, Mark, Logo, Tagline, Service Mark, Jingle, Sound</t>
  </si>
  <si>
    <t>Customer, Partner, Product, Asset, Policy, Order, Agreement, Financial Account, Payment, Facility, Channel, Conveyor, Network, Tax</t>
  </si>
  <si>
    <t>A tradable asset, such as stocks, bonds, bills of exchange, futures, options, evidence of ownership, and cash.</t>
  </si>
  <si>
    <t>Property or other asset that a customer offers as security to a borrowing or lending agreement.</t>
  </si>
  <si>
    <t>Agreement, Financial Account, Monetary Amount</t>
  </si>
  <si>
    <t>Representational Intrinsic (for example, CAD, USD, GBP)</t>
  </si>
  <si>
    <t>Asset, Liability, Income, Expense, Equity/Capital (Suspense)</t>
  </si>
  <si>
    <t>Supports the raising of capital regarding shares, bonds, and other long-term investments.</t>
  </si>
  <si>
    <t xml:space="preserve">A Financial Instrument Analyst is a person who evaluates a financial instrument for the purposes of packaging it for trading and delivery to investors. </t>
  </si>
  <si>
    <t xml:space="preserve">A Financial Instrument Sales Advisor is a person who uses the financial instrument evaluations to determine the packaging and trading terms with investors. </t>
  </si>
  <si>
    <t>Security Trader (column C) or Security Trading Organization (column D)?</t>
  </si>
  <si>
    <t>New or modified product introduced to market.</t>
  </si>
  <si>
    <t>A fully compliant transaction is complete.</t>
  </si>
  <si>
    <t>Request documents or perform required activities necessary to assess the risk and meet compliance requirements of the transaction.</t>
  </si>
  <si>
    <t>Buyer and seller have positively completed due diligence review</t>
  </si>
  <si>
    <t>Interested parties are secured.</t>
  </si>
  <si>
    <t>Buyer's and seller's due diligence requirements are met.</t>
  </si>
  <si>
    <t>Risk Officer, Financial Controller, Financial Instrument Sales Advisor, Financial Instrument Analyst, Investment Manager, Legal Counsel, Risk Officer</t>
  </si>
  <si>
    <t>A servicing portfolio for acquisition or sale is defined</t>
  </si>
  <si>
    <t>Draft servicing agreement and close transaction.</t>
  </si>
  <si>
    <t>Transaction settlement completed</t>
  </si>
  <si>
    <t>Transaction closed.</t>
  </si>
  <si>
    <t>Channel Manager, Product Manager, Financial Instrument Sales Advisor, Agent, Compliance/Risk Officer, Financial Instrument Sales Advisor, Financial Instrument Analyst, Investment Manager, Legal Counsel, Risk Officer, Trust Bank (Custodian)</t>
  </si>
  <si>
    <t>Establish servicing portfolio assets at new institution.</t>
  </si>
  <si>
    <t>Asset established at new servicing entity.</t>
  </si>
  <si>
    <t>Policy data is validated and evaluated.</t>
  </si>
  <si>
    <t xml:space="preserve">The drafting of a proposed policy or policy modification, collecting comments, editing, and finalizing the policy to submit for official voting.  </t>
  </si>
  <si>
    <t>Compliance requirements acknowledged.</t>
  </si>
  <si>
    <t>The act of generating the financial statements (balance sheet, income statement, cash flow statement, shareholders' equity statement) and annotating them with the summarized findings.</t>
  </si>
  <si>
    <t>Company compliant with financial regulations.</t>
  </si>
  <si>
    <t>Ability to determine that a financial forecast is accurate within the constraints of the forecasting model.</t>
  </si>
  <si>
    <t>A party looks to identify for buyers or sellers of rights to a specific servicing portfolio.</t>
  </si>
  <si>
    <t xml:space="preserve">Comments should be directed to the appropriate Business Architecture Guild, reference model member forum at www.businessarchitectureguild.org. </t>
  </si>
  <si>
    <t xml:space="preserve">NOTE: Where a cell is blank in this information map, it means that a relationship or other aspect of the information concept was not defined.  </t>
  </si>
  <si>
    <t>Ability to apply an authorization determination to a particular human resource or collection of resources.</t>
  </si>
  <si>
    <t>Financial Transaction/Currency Matching</t>
  </si>
  <si>
    <t xml:space="preserve">Ability to associate a financial transaction with the currency associated with that financial transaction. </t>
  </si>
  <si>
    <t>Financial Account/Currency Matching</t>
  </si>
  <si>
    <t xml:space="preserve">Ability to associate a financial account with the currency associated with that financial account. </t>
  </si>
  <si>
    <t>Ability to ensure that quantifiable, measurable objectives are associated with action to be taken to achieve those results.</t>
  </si>
  <si>
    <r>
      <t xml:space="preserve">Ability to capture, represent, analyze, and act upon explicit or implicit inclinations, leanings, likings, predispositions, penchants, or options </t>
    </r>
    <r>
      <rPr>
        <sz val="11"/>
        <color theme="1"/>
        <rFont val="Calibri"/>
        <family val="2"/>
      </rPr>
      <t>—</t>
    </r>
    <r>
      <rPr>
        <sz val="11"/>
        <color theme="1"/>
        <rFont val="Calibri"/>
        <family val="2"/>
        <scheme val="minor"/>
      </rPr>
      <t xml:space="preserve"> expressed formally or informally — as determined or derived from a combination of sources and associated with a human resource.</t>
    </r>
  </si>
  <si>
    <t>Business Entity/Business Entity Matching</t>
  </si>
  <si>
    <t>Business Entity/Financial Forecast Matching</t>
  </si>
  <si>
    <t>Intellectual Property/Intellectual Property Matching</t>
  </si>
  <si>
    <t>Intellectual Property/Business Entity Matching</t>
  </si>
  <si>
    <t>Agreement Term/Policy Matching</t>
  </si>
  <si>
    <t>Financial Instrument/Financial Instrument Matching</t>
  </si>
  <si>
    <t>Investment Portfolio/Investment Portfolio Matching</t>
  </si>
  <si>
    <t>Financial Account/Financial Account Matching</t>
  </si>
  <si>
    <t>Financial Account/Business Entity Matching</t>
  </si>
  <si>
    <t>Monetary Amount/Financial Transaction Matching</t>
  </si>
  <si>
    <t>Monetary Amount/Financial Account Matching</t>
  </si>
  <si>
    <t>Financial Transaction/Financial Account Matching</t>
  </si>
  <si>
    <t>Human Resource/Human Resource Matching</t>
  </si>
  <si>
    <t>Human Resource/Business Entity Matching</t>
  </si>
  <si>
    <t>Legal Proceeding/Human Resource Matching</t>
  </si>
  <si>
    <t>Legal Proceeding/Intellectual Property Matching</t>
  </si>
  <si>
    <t>Work Item/Human Resource Matching</t>
  </si>
  <si>
    <t>Work Item/Work Queue Matching</t>
  </si>
  <si>
    <t>Work Queue/Human Resource Matching</t>
  </si>
  <si>
    <t>Authored Item/Authored Item Matching</t>
  </si>
  <si>
    <t>Information Map</t>
  </si>
  <si>
    <t>Stakeholder Map</t>
  </si>
  <si>
    <t>Ability to associate a financial transaction with an asset.</t>
  </si>
  <si>
    <t>Ability to associate a decision to a related business object that may include a related decision, the time associated with that decision, the location in which the decision was made or applied, or any aspect of an organization triggered by or related to a decision.</t>
  </si>
  <si>
    <t>Ability to define, track, and articulate the series of stages of a program from conception through retirement.</t>
  </si>
  <si>
    <t>Deliver Meeting</t>
  </si>
  <si>
    <t>The end-to-end perspective of planning and executing a meeting.</t>
  </si>
  <si>
    <t>Meeting is held and the subject matter of the meeting is conducted.</t>
  </si>
  <si>
    <t>Initiate Meeting</t>
  </si>
  <si>
    <t>The act of conceiving, advancing, positing, or originating a meeting.</t>
  </si>
  <si>
    <t>Disposition and ability to deliver meeting</t>
  </si>
  <si>
    <t>Meeting concept proposed</t>
  </si>
  <si>
    <t>Meeting proposal.</t>
  </si>
  <si>
    <t>Approve Meeting</t>
  </si>
  <si>
    <t>The act of defining the meeting and its subject matter, planning the meeting, budgeting and scheduling the meeting, identifying resources for the meeting, and approving the meeting.</t>
  </si>
  <si>
    <t>Meeting proposal</t>
  </si>
  <si>
    <t>Meeting plan finalized</t>
  </si>
  <si>
    <t>Approved meeting plan.</t>
  </si>
  <si>
    <t>Prepare Meeting</t>
  </si>
  <si>
    <t>The act of securing resources, such as people, assets, or facilities for the meeting.</t>
  </si>
  <si>
    <t>Approved meeting plan</t>
  </si>
  <si>
    <t>Meeting resources, logistics secured</t>
  </si>
  <si>
    <t>Meeting resourced.</t>
  </si>
  <si>
    <t>Conduct Meeting</t>
  </si>
  <si>
    <t>The act of carrying out the activities defined in the meeting plan.</t>
  </si>
  <si>
    <t>Meeting concluded</t>
  </si>
  <si>
    <t>Finalize Meeting</t>
  </si>
  <si>
    <t>The act of concluding the meeting, which may include activities such as communicating with stakeholders after a meeting, recording or memorializing the meeting subject matter, evaluating the outcomes of the meeting, paying for the meeting, or cleaning up after the meeting.</t>
  </si>
  <si>
    <t>Concluded meeting</t>
  </si>
  <si>
    <t>Post-meeting activities complete</t>
  </si>
  <si>
    <t>Ability to associate a plan with another business object.</t>
  </si>
  <si>
    <t>Ability to associate a plan with another plan.</t>
  </si>
  <si>
    <t>Ability to associate a plan with a program.</t>
  </si>
  <si>
    <t>Ability to associate a plan with a work item.</t>
  </si>
  <si>
    <t>Ability to associate a plan with a schedule.</t>
  </si>
  <si>
    <t>Ability to associate a plan with an authored item.</t>
  </si>
  <si>
    <t>Ability to associate a plan with an investment.</t>
  </si>
  <si>
    <t>Ability to associate a plan with a partner.</t>
  </si>
  <si>
    <t>Ability to associate a plan with training.</t>
  </si>
  <si>
    <t>Ability to associate a plan with an asset.</t>
  </si>
  <si>
    <t>Ability to associate a plan with a policy.</t>
  </si>
  <si>
    <t>Ability to associate a plan with strategy.</t>
  </si>
  <si>
    <t>Ability to associate a plan with a channel.</t>
  </si>
  <si>
    <t>Asset, Brand, Event, Human Resource, Inquiry, Legal Proceeding, Policy, Program, Strategy. Work, Agreement, Customer, Channel, Partner, Product, Financial Account, Financial Transaction</t>
  </si>
  <si>
    <t>Product, Market, Location, Brand, Meeting, Finance, Intellectual Property, Job, Location, Plan, Policy, Program, Strategy, Training, Customer, Channel</t>
  </si>
  <si>
    <t>Brand, Location, Campaign, Customer, Event, Product</t>
  </si>
  <si>
    <t>Strategy, Plan, Program, Market, Product, Customer, Partner, Human Resource, Channel, Location, Policy</t>
  </si>
  <si>
    <t>Program, Product, Human Resource, Inquiry, Investment, Job, Legal Proceeding, Strategy, Market</t>
  </si>
  <si>
    <t>Financial Instrument, Market</t>
  </si>
  <si>
    <t>Historical (Retired), Current (In-Use), Enforced, Future Planned, Assessed/Levied, Paid/Deducted</t>
  </si>
  <si>
    <t>For-Profit, Not-for-Profit, Fior-Benefit, Corporation, Partnership, Sole Proprietorship, and Government Organizations</t>
  </si>
  <si>
    <t>Strategy, Plan, Asset, Payment, Policy, Research</t>
  </si>
  <si>
    <r>
      <rPr>
        <sz val="11"/>
        <rFont val="Calibri"/>
        <family val="2"/>
      </rPr>
      <t>A legal body or bodies that comprises or comprise a single organization.</t>
    </r>
    <r>
      <rPr>
        <sz val="11"/>
        <color rgb="FF000000"/>
        <rFont val="Calibri"/>
        <family val="2"/>
      </rPr>
      <t xml:space="preserve"> </t>
    </r>
  </si>
  <si>
    <r>
      <rPr>
        <sz val="11"/>
        <rFont val="Calibri"/>
        <family val="2"/>
      </rPr>
      <t>A set of legally binding rights and obligations created by two or more legal entities</t>
    </r>
    <r>
      <rPr>
        <sz val="11"/>
        <color rgb="FF000000"/>
        <rFont val="Calibri"/>
        <family val="2"/>
      </rPr>
      <t>.</t>
    </r>
  </si>
  <si>
    <t>Policy, Location, Authored Item</t>
  </si>
  <si>
    <t>Plan, Training, Competency, Policy</t>
  </si>
  <si>
    <t>Learned, Intrinsic</t>
  </si>
  <si>
    <t>Meeting delivered.</t>
  </si>
  <si>
    <t>Meeting statistics, feedback, and outcomes collected.</t>
  </si>
  <si>
    <t>The act of acquiring the servicing rights for a portfolio of loans that have been serviced by another servicer. Ownership of the note stays with the owner of the loan. The security instrument and related legal documents may be assigned to the new servicer depending on note-owner contractual requirements.</t>
  </si>
  <si>
    <t>Financial accounts are being serviced</t>
  </si>
  <si>
    <t>An institution acquires rights to service a number of financial accounts in exchange for fee-based income.</t>
  </si>
  <si>
    <t>Financial accounts are established at servicing institution</t>
  </si>
  <si>
    <t>Customers begin servicing financial accounts with new institution.</t>
  </si>
  <si>
    <t>Acquire Serviced Portfolio</t>
  </si>
  <si>
    <t>Onboard Serviced Portfolio</t>
  </si>
  <si>
    <t>Set up and communicate appropriate financial account payment scheduling details and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</si>
</sst>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quot;$&quot;* #,##0.00_-;\-&quot;$&quot;* #,##0.00_-;_-&quot;$&quot;* &quot;-&quot;??_-;_-@_-"/>
    <numFmt numFmtId="165" formatCode="_-* #,##0.00_-;\-* #,##0.00_-;_-* &quot;-&quot;??_-;_-@_-"/>
  </numFmts>
  <fonts count="42">
    <font>
      <sz val="11"/>
      <color theme="1"/>
      <name val="Calibri"/>
      <family val="2"/>
      <scheme val="minor"/>
    </font>
    <font>
      <sz val="12"/>
      <color theme="1"/>
      <name val="Calibri"/>
      <family val="2"/>
      <scheme val="minor"/>
    </font>
    <font>
      <b/>
      <sz val="11"/>
      <color theme="1"/>
      <name val="Calibri"/>
      <family val="2"/>
      <scheme val="minor"/>
    </font>
    <font>
      <sz val="11"/>
      <color indexed="8"/>
      <name val="Calibri"/>
      <family val="2"/>
      <scheme val="minor"/>
    </font>
    <font>
      <b/>
      <sz val="12"/>
      <name val="Calibri"/>
      <family val="2"/>
      <scheme val="minor"/>
    </font>
    <font>
      <b/>
      <i/>
      <sz val="11"/>
      <color theme="1"/>
      <name val="Calibri"/>
      <family val="2"/>
      <scheme val="minor"/>
    </font>
    <font>
      <b/>
      <sz val="14"/>
      <color theme="1"/>
      <name val="Calibri"/>
      <family val="2"/>
      <scheme val="minor"/>
    </font>
    <font>
      <sz val="14"/>
      <color theme="1"/>
      <name val="Calibri"/>
      <family val="2"/>
      <scheme val="minor"/>
    </font>
    <font>
      <b/>
      <sz val="12"/>
      <color theme="1"/>
      <name val="Calibri"/>
      <family val="2"/>
      <scheme val="minor"/>
    </font>
    <font>
      <b/>
      <sz val="11"/>
      <name val="Calibri"/>
      <family val="2"/>
      <scheme val="minor"/>
    </font>
    <font>
      <sz val="11"/>
      <name val="Calibri"/>
      <family val="2"/>
      <scheme val="minor"/>
    </font>
    <font>
      <sz val="11"/>
      <color theme="1"/>
      <name val="Calibri"/>
      <family val="2"/>
      <scheme val="minor"/>
    </font>
    <font>
      <sz val="11"/>
      <color rgb="FF000000"/>
      <name val="Calibri"/>
      <family val="2"/>
      <scheme val="minor"/>
    </font>
    <font>
      <sz val="12"/>
      <color theme="1"/>
      <name val="Calibri"/>
      <family val="2"/>
      <scheme val="minor"/>
    </font>
    <font>
      <b/>
      <sz val="12"/>
      <color rgb="FF000000"/>
      <name val="Calibri"/>
      <family val="2"/>
      <scheme val="minor"/>
    </font>
    <font>
      <sz val="11"/>
      <color rgb="FFFF0000"/>
      <name val="Calibri"/>
      <family val="2"/>
      <scheme val="minor"/>
    </font>
    <font>
      <u/>
      <sz val="11"/>
      <color theme="10"/>
      <name val="Calibri"/>
      <family val="2"/>
      <scheme val="minor"/>
    </font>
    <font>
      <sz val="12"/>
      <color rgb="FF9C0006"/>
      <name val="Calibri"/>
      <family val="2"/>
      <scheme val="minor"/>
    </font>
    <font>
      <sz val="10"/>
      <name val="Arial"/>
      <family val="2"/>
    </font>
    <font>
      <sz val="10"/>
      <color theme="1"/>
      <name val="Arial"/>
      <family val="2"/>
    </font>
    <font>
      <b/>
      <i/>
      <sz val="12"/>
      <color rgb="FF000000"/>
      <name val="Calibri (Body)_x0000_"/>
    </font>
    <font>
      <sz val="12"/>
      <color rgb="FF000000"/>
      <name val="Calibri (Body)_x0000_"/>
    </font>
    <font>
      <strike/>
      <sz val="11"/>
      <color theme="1"/>
      <name val="Calibri"/>
      <family val="2"/>
      <scheme val="minor"/>
    </font>
    <font>
      <strike/>
      <sz val="11"/>
      <name val="Calibri"/>
      <family val="2"/>
      <scheme val="minor"/>
    </font>
    <font>
      <b/>
      <sz val="18"/>
      <name val="Aharoni"/>
    </font>
    <font>
      <b/>
      <sz val="16"/>
      <color theme="0"/>
      <name val="Aharoni"/>
    </font>
    <font>
      <b/>
      <sz val="14"/>
      <color theme="1"/>
      <name val="Calibri"/>
      <family val="2"/>
    </font>
    <font>
      <b/>
      <sz val="14"/>
      <color theme="0"/>
      <name val="Aharoni"/>
    </font>
    <font>
      <b/>
      <i/>
      <sz val="12"/>
      <color indexed="8"/>
      <name val="Calibri"/>
      <family val="2"/>
      <scheme val="minor"/>
    </font>
    <font>
      <b/>
      <sz val="12"/>
      <color rgb="FF333333"/>
      <name val="Georgia"/>
      <family val="1"/>
    </font>
    <font>
      <b/>
      <sz val="12"/>
      <color rgb="FF000000"/>
      <name val="Calibri"/>
      <family val="2"/>
    </font>
    <font>
      <sz val="12"/>
      <name val="Calibri"/>
      <family val="2"/>
    </font>
    <font>
      <sz val="12"/>
      <color rgb="FF000000"/>
      <name val="Calibri"/>
      <family val="2"/>
      <scheme val="minor"/>
    </font>
    <font>
      <sz val="12"/>
      <name val="Calibri"/>
      <family val="2"/>
      <scheme val="minor"/>
    </font>
    <font>
      <b/>
      <sz val="14"/>
      <color rgb="FF000000"/>
      <name val="Calibri"/>
      <family val="2"/>
    </font>
    <font>
      <u/>
      <sz val="12"/>
      <color theme="10"/>
      <name val="Calibri"/>
      <family val="2"/>
      <scheme val="minor"/>
    </font>
    <font>
      <i/>
      <sz val="12"/>
      <name val="Calibri"/>
      <family val="2"/>
      <scheme val="minor"/>
    </font>
    <font>
      <sz val="10"/>
      <color theme="1"/>
      <name val="Calibri"/>
      <family val="2"/>
      <scheme val="minor"/>
    </font>
    <font>
      <b/>
      <i/>
      <sz val="12"/>
      <color theme="1"/>
      <name val="Calibri"/>
      <family val="2"/>
      <scheme val="minor"/>
    </font>
    <font>
      <sz val="11"/>
      <color theme="1"/>
      <name val="Calibri"/>
      <family val="2"/>
    </font>
    <font>
      <sz val="11"/>
      <color rgb="FF000000"/>
      <name val="Calibri"/>
      <family val="2"/>
    </font>
    <font>
      <sz val="11"/>
      <name val="Calibri"/>
      <family val="2"/>
    </font>
  </fonts>
  <fills count="15">
    <fill>
      <patternFill patternType="none"/>
    </fill>
    <fill>
      <patternFill patternType="gray125"/>
    </fill>
    <fill>
      <patternFill patternType="solid">
        <fgColor theme="0"/>
        <bgColor indexed="64"/>
      </patternFill>
    </fill>
    <fill>
      <patternFill patternType="solid">
        <fgColor rgb="FFFFC7CE"/>
      </patternFill>
    </fill>
    <fill>
      <patternFill patternType="solid">
        <fgColor rgb="FF808080"/>
        <bgColor indexed="64"/>
      </patternFill>
    </fill>
    <fill>
      <patternFill patternType="solid">
        <fgColor theme="4" tint="0.79998168889431442"/>
        <bgColor indexed="64"/>
      </patternFill>
    </fill>
    <fill>
      <patternFill patternType="solid">
        <fgColor theme="1" tint="0.49998474074526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theme="0" tint="-0.499984740745262"/>
        <bgColor indexed="64"/>
      </patternFill>
    </fill>
    <fill>
      <patternFill patternType="solid">
        <fgColor theme="4" tint="0.79998168889431442"/>
        <bgColor rgb="FFD9E2F3"/>
      </patternFill>
    </fill>
    <fill>
      <patternFill patternType="solid">
        <fgColor theme="4" tint="0.79998168889431442"/>
        <bgColor rgb="FFC9DAF8"/>
      </patternFill>
    </fill>
    <fill>
      <patternFill patternType="solid">
        <fgColor rgb="FFFFFF00"/>
        <bgColor indexed="64"/>
      </patternFill>
    </fill>
  </fills>
  <borders count="19">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tint="-0.14993743705557422"/>
      </left>
      <right/>
      <top style="thin">
        <color theme="0" tint="-0.14993743705557422"/>
      </top>
      <bottom/>
      <diagonal/>
    </border>
    <border>
      <left style="thin">
        <color theme="0" tint="-0.1498764000366222"/>
      </left>
      <right/>
      <top style="thin">
        <color theme="0" tint="-0.1498764000366222"/>
      </top>
      <bottom style="thin">
        <color theme="0" tint="-0.1498764000366222"/>
      </bottom>
      <diagonal/>
    </border>
    <border>
      <left/>
      <right/>
      <top style="thin">
        <color theme="0" tint="-0.1498764000366222"/>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medium">
        <color indexed="64"/>
      </left>
      <right style="medium">
        <color indexed="64"/>
      </right>
      <top/>
      <bottom style="medium">
        <color indexed="64"/>
      </bottom>
      <diagonal/>
    </border>
  </borders>
  <cellStyleXfs count="54">
    <xf numFmtId="0" fontId="0" fillId="0" borderId="0"/>
    <xf numFmtId="0" fontId="3" fillId="0" borderId="0"/>
    <xf numFmtId="0" fontId="1" fillId="0" borderId="0"/>
    <xf numFmtId="0" fontId="16" fillId="0" borderId="0" applyNumberFormat="0" applyFill="0" applyBorder="0" applyAlignment="0" applyProtection="0"/>
    <xf numFmtId="0" fontId="17" fillId="3"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165" fontId="18" fillId="0" borderId="0" applyFont="0" applyFill="0" applyBorder="0" applyAlignment="0" applyProtection="0"/>
    <xf numFmtId="43" fontId="11" fillId="0" borderId="0" applyFont="0" applyFill="0" applyBorder="0" applyAlignment="0" applyProtection="0"/>
    <xf numFmtId="165" fontId="11" fillId="0" borderId="0" applyFont="0" applyFill="0" applyBorder="0" applyAlignment="0" applyProtection="0"/>
    <xf numFmtId="165" fontId="18"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0" fontId="20" fillId="0" borderId="0">
      <alignment horizontal="left" vertical="top" wrapText="1" indent="1"/>
    </xf>
    <xf numFmtId="0" fontId="21" fillId="0" borderId="0">
      <alignment horizontal="left" vertical="top" wrapText="1" indent="2"/>
    </xf>
    <xf numFmtId="0" fontId="18" fillId="0" borderId="0"/>
    <xf numFmtId="0" fontId="18" fillId="0" borderId="0"/>
    <xf numFmtId="0" fontId="18" fillId="0" borderId="0"/>
    <xf numFmtId="0" fontId="11" fillId="0" borderId="0"/>
    <xf numFmtId="0" fontId="18" fillId="0" borderId="0"/>
    <xf numFmtId="0" fontId="18" fillId="0" borderId="0"/>
    <xf numFmtId="0" fontId="1" fillId="0" borderId="0"/>
    <xf numFmtId="0" fontId="11" fillId="0" borderId="0"/>
    <xf numFmtId="0" fontId="18" fillId="0" borderId="0"/>
    <xf numFmtId="0" fontId="19" fillId="0" borderId="0"/>
    <xf numFmtId="0" fontId="19" fillId="0" borderId="0"/>
    <xf numFmtId="0" fontId="19" fillId="0" borderId="0"/>
    <xf numFmtId="0" fontId="19" fillId="0" borderId="0"/>
    <xf numFmtId="9" fontId="18" fillId="0" borderId="0" applyFont="0" applyFill="0" applyBorder="0" applyAlignment="0" applyProtection="0"/>
    <xf numFmtId="9" fontId="18"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22" fillId="9" borderId="0">
      <alignment wrapText="1"/>
    </xf>
    <xf numFmtId="0" fontId="1" fillId="0" borderId="0"/>
  </cellStyleXfs>
  <cellXfs count="173">
    <xf numFmtId="0" fontId="0" fillId="0" borderId="0" xfId="0"/>
    <xf numFmtId="0" fontId="0" fillId="0" borderId="0" xfId="0" applyAlignment="1">
      <alignment vertical="center"/>
    </xf>
    <xf numFmtId="0" fontId="0" fillId="0" borderId="0" xfId="0" applyAlignment="1">
      <alignment vertical="center" wrapText="1"/>
    </xf>
    <xf numFmtId="0" fontId="10" fillId="0" borderId="1" xfId="1" applyFont="1" applyFill="1" applyBorder="1" applyAlignment="1">
      <alignment vertical="top" wrapText="1"/>
    </xf>
    <xf numFmtId="0" fontId="12" fillId="0" borderId="1" xfId="1" applyFont="1" applyBorder="1" applyAlignment="1">
      <alignment vertical="top" wrapText="1"/>
    </xf>
    <xf numFmtId="0" fontId="6" fillId="5" borderId="1" xfId="0" applyFont="1" applyFill="1" applyBorder="1" applyAlignment="1">
      <alignment vertical="center" wrapText="1"/>
    </xf>
    <xf numFmtId="0" fontId="14" fillId="5" borderId="2" xfId="0" applyFont="1" applyFill="1" applyBorder="1" applyAlignment="1">
      <alignment horizontal="justify" vertical="center" wrapText="1"/>
    </xf>
    <xf numFmtId="0" fontId="14" fillId="5" borderId="3" xfId="0" applyFont="1" applyFill="1" applyBorder="1" applyAlignment="1">
      <alignment horizontal="justify" vertical="center" wrapText="1"/>
    </xf>
    <xf numFmtId="0" fontId="0" fillId="0" borderId="0" xfId="0" applyAlignment="1">
      <alignment wrapText="1"/>
    </xf>
    <xf numFmtId="0" fontId="0" fillId="0" borderId="0" xfId="0" applyFill="1" applyBorder="1"/>
    <xf numFmtId="0" fontId="0" fillId="0" borderId="0" xfId="0" applyFont="1" applyBorder="1" applyAlignment="1">
      <alignment vertical="top" wrapText="1"/>
    </xf>
    <xf numFmtId="0" fontId="0" fillId="0" borderId="1" xfId="0" applyBorder="1" applyAlignment="1">
      <alignment vertical="top" wrapText="1"/>
    </xf>
    <xf numFmtId="0" fontId="0" fillId="0" borderId="0" xfId="0" applyBorder="1"/>
    <xf numFmtId="0" fontId="9" fillId="5" borderId="1" xfId="1" applyFont="1" applyFill="1" applyBorder="1" applyAlignment="1">
      <alignment horizontal="left" vertical="top" wrapText="1"/>
    </xf>
    <xf numFmtId="0" fontId="0" fillId="0" borderId="0" xfId="0" applyFont="1" applyBorder="1"/>
    <xf numFmtId="0" fontId="10" fillId="0" borderId="0" xfId="0" applyFont="1" applyFill="1" applyBorder="1" applyAlignment="1">
      <alignment vertical="top"/>
    </xf>
    <xf numFmtId="0" fontId="10" fillId="0" borderId="0" xfId="0" applyFont="1" applyBorder="1" applyAlignment="1">
      <alignment vertical="top" wrapText="1"/>
    </xf>
    <xf numFmtId="0" fontId="15" fillId="0" borderId="0" xfId="0" applyFont="1" applyBorder="1" applyAlignment="1">
      <alignment vertical="top" wrapText="1"/>
    </xf>
    <xf numFmtId="0" fontId="10" fillId="0" borderId="0" xfId="0" applyFont="1" applyFill="1" applyBorder="1" applyAlignment="1">
      <alignment vertical="top" wrapText="1"/>
    </xf>
    <xf numFmtId="0" fontId="11" fillId="0" borderId="0" xfId="0" applyFont="1" applyBorder="1" applyAlignment="1">
      <alignment vertical="top" wrapText="1"/>
    </xf>
    <xf numFmtId="0" fontId="23" fillId="0" borderId="0" xfId="0" applyFont="1" applyFill="1" applyBorder="1" applyAlignment="1">
      <alignment vertical="top" wrapText="1"/>
    </xf>
    <xf numFmtId="0" fontId="10" fillId="0" borderId="0" xfId="0" applyFont="1" applyBorder="1" applyAlignment="1">
      <alignment vertical="top"/>
    </xf>
    <xf numFmtId="0" fontId="0" fillId="0" borderId="0" xfId="0" applyBorder="1" applyAlignment="1">
      <alignment vertical="top"/>
    </xf>
    <xf numFmtId="0" fontId="0" fillId="0" borderId="0" xfId="0" applyBorder="1" applyAlignment="1">
      <alignment vertical="top" wrapText="1"/>
    </xf>
    <xf numFmtId="0" fontId="15" fillId="0" borderId="0" xfId="0" applyFont="1" applyBorder="1" applyAlignment="1">
      <alignment vertical="top"/>
    </xf>
    <xf numFmtId="0" fontId="0" fillId="0" borderId="0" xfId="0" applyFill="1" applyBorder="1" applyAlignment="1">
      <alignment vertical="top" wrapText="1"/>
    </xf>
    <xf numFmtId="0" fontId="10" fillId="2" borderId="0" xfId="0" applyFont="1" applyFill="1" applyBorder="1" applyAlignment="1">
      <alignment vertical="top" wrapText="1"/>
    </xf>
    <xf numFmtId="0" fontId="13" fillId="0" borderId="0" xfId="0" applyFont="1" applyAlignment="1">
      <alignment wrapText="1"/>
    </xf>
    <xf numFmtId="0" fontId="16" fillId="0" borderId="1" xfId="3" applyBorder="1" applyAlignment="1">
      <alignment vertical="center" wrapText="1"/>
    </xf>
    <xf numFmtId="0" fontId="3" fillId="2" borderId="8" xfId="1" applyFill="1" applyBorder="1"/>
    <xf numFmtId="0" fontId="3" fillId="0" borderId="0" xfId="1"/>
    <xf numFmtId="0" fontId="0" fillId="0" borderId="0" xfId="0" applyAlignment="1">
      <alignment vertical="top" wrapText="1"/>
    </xf>
    <xf numFmtId="0" fontId="1" fillId="0" borderId="0" xfId="0" applyFont="1"/>
    <xf numFmtId="0" fontId="4" fillId="0" borderId="1" xfId="1" applyFont="1" applyBorder="1" applyAlignment="1">
      <alignment horizontal="center" wrapText="1"/>
    </xf>
    <xf numFmtId="0" fontId="4" fillId="0" borderId="5" xfId="1" applyFont="1" applyFill="1" applyBorder="1" applyAlignment="1">
      <alignment horizontal="left" wrapText="1"/>
    </xf>
    <xf numFmtId="0" fontId="4" fillId="0" borderId="1" xfId="1" applyFont="1" applyFill="1" applyBorder="1" applyAlignment="1">
      <alignment horizontal="left" wrapText="1"/>
    </xf>
    <xf numFmtId="0" fontId="8" fillId="0" borderId="0" xfId="0" applyFont="1" applyAlignment="1">
      <alignment horizontal="left"/>
    </xf>
    <xf numFmtId="0" fontId="24" fillId="10" borderId="9" xfId="1" applyFont="1" applyFill="1" applyBorder="1" applyAlignment="1">
      <alignment vertical="center"/>
    </xf>
    <xf numFmtId="0" fontId="25" fillId="6" borderId="9" xfId="1" applyFont="1" applyFill="1" applyBorder="1" applyAlignment="1">
      <alignment horizontal="center" vertical="center"/>
    </xf>
    <xf numFmtId="0" fontId="26" fillId="10" borderId="9" xfId="1" applyFont="1" applyFill="1" applyBorder="1" applyAlignment="1">
      <alignment horizontal="left" vertical="center" wrapText="1"/>
    </xf>
    <xf numFmtId="0" fontId="27" fillId="6" borderId="9" xfId="1" applyFont="1" applyFill="1" applyBorder="1" applyAlignment="1">
      <alignment horizontal="center" vertical="center"/>
    </xf>
    <xf numFmtId="0" fontId="26" fillId="10" borderId="9" xfId="1" applyFont="1" applyFill="1" applyBorder="1" applyAlignment="1">
      <alignment horizontal="left" vertical="top" wrapText="1"/>
    </xf>
    <xf numFmtId="0" fontId="28" fillId="10" borderId="9" xfId="1" applyFont="1" applyFill="1" applyBorder="1" applyAlignment="1">
      <alignment wrapText="1"/>
    </xf>
    <xf numFmtId="0" fontId="5" fillId="0" borderId="10" xfId="1" applyFont="1" applyBorder="1" applyAlignment="1">
      <alignment wrapText="1"/>
    </xf>
    <xf numFmtId="0" fontId="0" fillId="0" borderId="0" xfId="0" applyAlignment="1">
      <alignment vertical="top"/>
    </xf>
    <xf numFmtId="0" fontId="8" fillId="0" borderId="1" xfId="0" applyFont="1" applyBorder="1" applyAlignment="1">
      <alignment horizontal="left" vertical="top"/>
    </xf>
    <xf numFmtId="0" fontId="8" fillId="0" borderId="1" xfId="0" applyFont="1" applyBorder="1" applyAlignment="1">
      <alignment horizontal="left" vertical="top" wrapText="1"/>
    </xf>
    <xf numFmtId="0" fontId="29" fillId="0" borderId="0" xfId="0" applyFont="1" applyAlignment="1">
      <alignment vertical="top"/>
    </xf>
    <xf numFmtId="0" fontId="9" fillId="5" borderId="1" xfId="1" applyFont="1" applyFill="1" applyBorder="1" applyAlignment="1">
      <alignment vertical="top" wrapText="1"/>
    </xf>
    <xf numFmtId="0" fontId="9" fillId="5" borderId="1" xfId="1" applyFont="1" applyFill="1" applyBorder="1" applyAlignment="1">
      <alignment horizontal="center" vertical="top" wrapText="1"/>
    </xf>
    <xf numFmtId="0" fontId="10" fillId="0" borderId="0" xfId="1" applyFont="1" applyBorder="1" applyAlignment="1">
      <alignment horizontal="center" vertical="top" wrapText="1"/>
    </xf>
    <xf numFmtId="0" fontId="3" fillId="0" borderId="0" xfId="1" applyFont="1" applyBorder="1" applyAlignment="1">
      <alignment horizontal="center" vertical="top" wrapText="1"/>
    </xf>
    <xf numFmtId="0" fontId="10" fillId="0" borderId="0" xfId="0" applyFont="1" applyBorder="1" applyAlignment="1">
      <alignment horizontal="center" vertical="top"/>
    </xf>
    <xf numFmtId="0" fontId="0" fillId="0" borderId="0" xfId="0" applyBorder="1" applyAlignment="1">
      <alignment horizontal="center" vertical="top"/>
    </xf>
    <xf numFmtId="0" fontId="15" fillId="0" borderId="0" xfId="0" applyFont="1" applyBorder="1" applyAlignment="1">
      <alignment horizontal="center" vertical="top"/>
    </xf>
    <xf numFmtId="0" fontId="15" fillId="0" borderId="0" xfId="0" applyFont="1" applyBorder="1" applyAlignment="1">
      <alignment horizontal="center" vertical="top" wrapText="1"/>
    </xf>
    <xf numFmtId="0" fontId="10" fillId="0" borderId="0" xfId="0" applyFont="1" applyBorder="1" applyAlignment="1">
      <alignment horizontal="center" vertical="top" wrapText="1"/>
    </xf>
    <xf numFmtId="0" fontId="30" fillId="13" borderId="11" xfId="0" applyFont="1" applyFill="1" applyBorder="1" applyAlignment="1">
      <alignment vertical="top" wrapText="1"/>
    </xf>
    <xf numFmtId="0" fontId="0" fillId="0" borderId="1" xfId="0" applyFont="1" applyBorder="1" applyAlignment="1">
      <alignment horizontal="left" vertical="top" wrapText="1"/>
    </xf>
    <xf numFmtId="0" fontId="0" fillId="0" borderId="11" xfId="0" applyFont="1" applyBorder="1" applyAlignment="1">
      <alignment horizontal="left" vertical="top" wrapText="1"/>
    </xf>
    <xf numFmtId="0" fontId="0" fillId="0" borderId="12" xfId="0" applyFont="1" applyBorder="1" applyAlignment="1">
      <alignment horizontal="left" vertical="top" wrapText="1"/>
    </xf>
    <xf numFmtId="0" fontId="30" fillId="13" borderId="12" xfId="0" applyFont="1" applyFill="1" applyBorder="1" applyAlignment="1">
      <alignment vertical="top" wrapText="1"/>
    </xf>
    <xf numFmtId="0" fontId="30" fillId="13" borderId="1" xfId="0" applyFont="1" applyFill="1" applyBorder="1" applyAlignment="1">
      <alignment vertical="top" wrapText="1"/>
    </xf>
    <xf numFmtId="0" fontId="8" fillId="5" borderId="1" xfId="0" applyFont="1" applyFill="1" applyBorder="1" applyAlignment="1">
      <alignment horizontal="left" vertical="top" wrapText="1"/>
    </xf>
    <xf numFmtId="0" fontId="8" fillId="0" borderId="0" xfId="0" applyFont="1" applyAlignment="1">
      <alignment horizontal="center" vertical="top" wrapText="1"/>
    </xf>
    <xf numFmtId="0" fontId="1" fillId="0" borderId="0" xfId="0" applyFont="1" applyAlignment="1">
      <alignment vertical="top"/>
    </xf>
    <xf numFmtId="0" fontId="1" fillId="0" borderId="0" xfId="0" applyFont="1" applyAlignment="1">
      <alignment vertical="top" wrapText="1"/>
    </xf>
    <xf numFmtId="0" fontId="1" fillId="0" borderId="0" xfId="0" applyFont="1" applyBorder="1" applyAlignment="1">
      <alignment horizontal="left" vertical="top" wrapText="1"/>
    </xf>
    <xf numFmtId="0" fontId="8" fillId="5" borderId="1" xfId="0" applyFont="1" applyFill="1" applyBorder="1" applyAlignment="1">
      <alignment horizontal="left" vertical="center" wrapText="1"/>
    </xf>
    <xf numFmtId="0" fontId="8" fillId="5" borderId="1" xfId="0" applyFont="1" applyFill="1" applyBorder="1" applyAlignment="1">
      <alignment horizontal="left" vertical="center"/>
    </xf>
    <xf numFmtId="0" fontId="8" fillId="0" borderId="0" xfId="0" applyFont="1" applyAlignment="1">
      <alignment horizontal="center" vertical="center"/>
    </xf>
    <xf numFmtId="0" fontId="1" fillId="0" borderId="1" xfId="0" applyFont="1" applyBorder="1" applyAlignment="1">
      <alignment vertical="top" wrapText="1"/>
    </xf>
    <xf numFmtId="0" fontId="1" fillId="11" borderId="1" xfId="0" applyFont="1" applyFill="1" applyBorder="1" applyAlignment="1">
      <alignment vertical="top" wrapText="1"/>
    </xf>
    <xf numFmtId="0" fontId="1" fillId="0" borderId="1" xfId="0" applyFont="1" applyFill="1" applyBorder="1" applyAlignment="1">
      <alignment vertical="top" wrapText="1"/>
    </xf>
    <xf numFmtId="0" fontId="1" fillId="2" borderId="1" xfId="0" applyFont="1" applyFill="1" applyBorder="1" applyAlignment="1">
      <alignment vertical="top" wrapText="1"/>
    </xf>
    <xf numFmtId="0" fontId="1" fillId="2" borderId="1" xfId="0" quotePrefix="1" applyFont="1" applyFill="1" applyBorder="1" applyAlignment="1">
      <alignment vertical="top" wrapText="1"/>
    </xf>
    <xf numFmtId="0" fontId="8" fillId="0" borderId="0" xfId="0" applyFont="1" applyAlignment="1">
      <alignment vertical="center" wrapText="1"/>
    </xf>
    <xf numFmtId="0" fontId="33" fillId="0" borderId="1" xfId="0" applyFont="1" applyFill="1" applyBorder="1" applyAlignment="1">
      <alignment vertical="top" wrapText="1"/>
    </xf>
    <xf numFmtId="0" fontId="1" fillId="0" borderId="0" xfId="53" applyFont="1"/>
    <xf numFmtId="0" fontId="1" fillId="2" borderId="1" xfId="0" applyFont="1" applyFill="1" applyBorder="1" applyAlignment="1">
      <alignment vertical="top"/>
    </xf>
    <xf numFmtId="0" fontId="32" fillId="0" borderId="1" xfId="0" applyFont="1" applyBorder="1" applyAlignment="1">
      <alignment horizontal="left" vertical="top" wrapText="1"/>
    </xf>
    <xf numFmtId="0" fontId="32" fillId="4" borderId="1" xfId="0" applyFont="1" applyFill="1" applyBorder="1" applyAlignment="1">
      <alignment horizontal="left" vertical="top" wrapText="1"/>
    </xf>
    <xf numFmtId="0" fontId="32" fillId="0" borderId="1" xfId="0" applyFont="1" applyFill="1" applyBorder="1" applyAlignment="1">
      <alignment horizontal="left" vertical="top" wrapText="1"/>
    </xf>
    <xf numFmtId="0" fontId="32" fillId="4" borderId="1" xfId="0" applyFont="1" applyFill="1" applyBorder="1" applyAlignment="1">
      <alignment horizontal="left" vertical="top"/>
    </xf>
    <xf numFmtId="0" fontId="0" fillId="0" borderId="0" xfId="0"/>
    <xf numFmtId="0" fontId="35" fillId="0" borderId="1" xfId="3" applyFont="1" applyBorder="1" applyAlignment="1">
      <alignment vertical="top" wrapText="1"/>
    </xf>
    <xf numFmtId="0" fontId="36" fillId="7" borderId="1" xfId="0" applyFont="1" applyFill="1" applyBorder="1" applyAlignment="1">
      <alignment vertical="top"/>
    </xf>
    <xf numFmtId="0" fontId="36" fillId="7" borderId="1" xfId="0" applyFont="1" applyFill="1" applyBorder="1" applyAlignment="1">
      <alignment vertical="top" wrapText="1"/>
    </xf>
    <xf numFmtId="0" fontId="2" fillId="5" borderId="1" xfId="0" applyFont="1" applyFill="1" applyBorder="1" applyAlignment="1">
      <alignment horizontal="left" vertical="center" wrapText="1"/>
    </xf>
    <xf numFmtId="0" fontId="2" fillId="5" borderId="1" xfId="0" applyFont="1" applyFill="1" applyBorder="1" applyAlignment="1">
      <alignment horizontal="left" vertical="center"/>
    </xf>
    <xf numFmtId="0" fontId="2" fillId="0" borderId="0" xfId="0" applyFont="1" applyAlignment="1">
      <alignment horizontal="center" vertical="center"/>
    </xf>
    <xf numFmtId="0" fontId="12" fillId="4" borderId="1" xfId="0" applyFont="1" applyFill="1" applyBorder="1" applyAlignment="1">
      <alignment horizontal="left" vertical="top" wrapText="1"/>
    </xf>
    <xf numFmtId="0" fontId="37" fillId="0" borderId="0" xfId="0" applyFont="1" applyAlignment="1">
      <alignment vertical="top"/>
    </xf>
    <xf numFmtId="0" fontId="37" fillId="0" borderId="0" xfId="0" applyFont="1" applyAlignment="1">
      <alignment horizontal="left" vertical="top" wrapText="1"/>
    </xf>
    <xf numFmtId="0" fontId="0" fillId="0" borderId="0" xfId="0" applyFont="1" applyAlignment="1">
      <alignment vertical="top" wrapText="1"/>
    </xf>
    <xf numFmtId="0" fontId="0" fillId="0" borderId="0" xfId="0" applyFont="1" applyAlignment="1">
      <alignment vertical="top"/>
    </xf>
    <xf numFmtId="0" fontId="2" fillId="5" borderId="1" xfId="0" applyFont="1" applyFill="1" applyBorder="1" applyAlignment="1">
      <alignment horizontal="left" vertical="top" wrapText="1"/>
    </xf>
    <xf numFmtId="0" fontId="2" fillId="0" borderId="0" xfId="0" applyFont="1" applyAlignment="1">
      <alignment horizontal="center" vertical="top" wrapText="1"/>
    </xf>
    <xf numFmtId="0" fontId="0" fillId="0" borderId="0" xfId="0" applyFont="1" applyBorder="1" applyAlignment="1">
      <alignment horizontal="left" vertical="top" wrapText="1"/>
    </xf>
    <xf numFmtId="0" fontId="12" fillId="0" borderId="1" xfId="0" applyFont="1" applyBorder="1" applyAlignment="1">
      <alignment horizontal="left" vertical="top" wrapText="1"/>
    </xf>
    <xf numFmtId="0" fontId="12" fillId="4" borderId="1" xfId="0" applyFont="1" applyFill="1" applyBorder="1" applyAlignment="1">
      <alignment horizontal="left" vertical="top"/>
    </xf>
    <xf numFmtId="0" fontId="10" fillId="2" borderId="1" xfId="0" applyFont="1" applyFill="1" applyBorder="1" applyAlignment="1">
      <alignment horizontal="left" vertical="top" wrapText="1"/>
    </xf>
    <xf numFmtId="0" fontId="2" fillId="5" borderId="1" xfId="0" applyFont="1" applyFill="1" applyBorder="1" applyAlignment="1">
      <alignment horizontal="left" wrapText="1"/>
    </xf>
    <xf numFmtId="0" fontId="0" fillId="0" borderId="1" xfId="0" applyBorder="1" applyAlignment="1">
      <alignment horizontal="center" vertical="top" wrapText="1"/>
    </xf>
    <xf numFmtId="0" fontId="2" fillId="0" borderId="1" xfId="0" applyFont="1" applyBorder="1" applyAlignment="1">
      <alignment vertical="top" wrapText="1"/>
    </xf>
    <xf numFmtId="0" fontId="0" fillId="0" borderId="1" xfId="0" applyBorder="1" applyAlignment="1">
      <alignment vertical="center" wrapText="1"/>
    </xf>
    <xf numFmtId="0" fontId="10" fillId="14" borderId="1" xfId="1" applyFont="1" applyFill="1" applyBorder="1" applyAlignment="1">
      <alignment vertical="top" wrapText="1"/>
    </xf>
    <xf numFmtId="0" fontId="12" fillId="14" borderId="1" xfId="1" applyFont="1" applyFill="1" applyBorder="1" applyAlignment="1">
      <alignment vertical="top" wrapText="1"/>
    </xf>
    <xf numFmtId="0" fontId="0" fillId="0" borderId="0" xfId="0" applyAlignment="1"/>
    <xf numFmtId="0" fontId="0" fillId="7" borderId="5" xfId="0" applyFill="1" applyBorder="1" applyAlignment="1">
      <alignment vertical="top"/>
    </xf>
    <xf numFmtId="0" fontId="0" fillId="7" borderId="6" xfId="0" applyFill="1" applyBorder="1" applyAlignment="1">
      <alignment vertical="top"/>
    </xf>
    <xf numFmtId="0" fontId="0" fillId="7" borderId="7" xfId="0" applyFill="1" applyBorder="1" applyAlignment="1">
      <alignment vertical="top"/>
    </xf>
    <xf numFmtId="0" fontId="1" fillId="0" borderId="1" xfId="0" applyFont="1" applyBorder="1" applyAlignment="1">
      <alignment horizontal="center" vertical="top" wrapText="1"/>
    </xf>
    <xf numFmtId="0" fontId="0" fillId="0" borderId="1" xfId="0" applyBorder="1" applyAlignment="1">
      <alignment horizontal="left" vertical="top" wrapText="1"/>
    </xf>
    <xf numFmtId="0" fontId="0" fillId="0" borderId="1" xfId="0" applyFont="1" applyBorder="1" applyAlignment="1">
      <alignment horizontal="center" vertical="top"/>
    </xf>
    <xf numFmtId="0" fontId="0" fillId="0" borderId="0" xfId="0" applyFont="1"/>
    <xf numFmtId="0" fontId="0" fillId="0" borderId="1" xfId="0" applyFont="1" applyFill="1" applyBorder="1" applyAlignment="1">
      <alignment horizontal="center" vertical="top"/>
    </xf>
    <xf numFmtId="0" fontId="0" fillId="0" borderId="1" xfId="0" applyFont="1" applyFill="1" applyBorder="1" applyAlignment="1">
      <alignment horizontal="left" vertical="top" wrapText="1"/>
    </xf>
    <xf numFmtId="0" fontId="0" fillId="0" borderId="0" xfId="0" applyFont="1" applyFill="1"/>
    <xf numFmtId="0" fontId="0" fillId="0" borderId="0" xfId="0" applyFont="1" applyFill="1" applyBorder="1"/>
    <xf numFmtId="0" fontId="0" fillId="0" borderId="0" xfId="0" applyFont="1" applyFill="1" applyAlignment="1">
      <alignment vertical="top" wrapText="1"/>
    </xf>
    <xf numFmtId="0" fontId="0" fillId="0" borderId="1" xfId="0" applyFont="1" applyBorder="1" applyAlignment="1">
      <alignment horizontal="center" vertical="top" wrapText="1"/>
    </xf>
    <xf numFmtId="0" fontId="0" fillId="0" borderId="1" xfId="0" applyFont="1" applyBorder="1" applyAlignment="1">
      <alignment horizontal="left" vertical="top"/>
    </xf>
    <xf numFmtId="0" fontId="16" fillId="0" borderId="1" xfId="3" applyFill="1" applyBorder="1" applyAlignment="1">
      <alignment vertical="center" wrapText="1"/>
    </xf>
    <xf numFmtId="0" fontId="1" fillId="0" borderId="1" xfId="0" applyFont="1" applyFill="1" applyBorder="1"/>
    <xf numFmtId="0" fontId="12" fillId="0" borderId="0" xfId="0" applyFont="1" applyAlignment="1">
      <alignment vertical="top" wrapText="1"/>
    </xf>
    <xf numFmtId="0" fontId="0" fillId="11" borderId="1" xfId="0" applyFill="1" applyBorder="1" applyAlignment="1">
      <alignment horizontal="left" vertical="top" wrapText="1"/>
    </xf>
    <xf numFmtId="0" fontId="0" fillId="2" borderId="1" xfId="0" applyFill="1" applyBorder="1" applyAlignment="1">
      <alignment horizontal="left" vertical="top"/>
    </xf>
    <xf numFmtId="0" fontId="1" fillId="11" borderId="1" xfId="0" applyFont="1" applyFill="1" applyBorder="1" applyAlignment="1">
      <alignment horizontal="left" vertical="top" wrapText="1"/>
    </xf>
    <xf numFmtId="0" fontId="0" fillId="2" borderId="1" xfId="0" applyFill="1" applyBorder="1" applyAlignment="1">
      <alignment horizontal="left" vertical="top" wrapText="1"/>
    </xf>
    <xf numFmtId="0" fontId="8" fillId="5" borderId="1" xfId="0" applyFont="1" applyFill="1" applyBorder="1" applyAlignment="1">
      <alignment horizontal="left" vertical="top"/>
    </xf>
    <xf numFmtId="0" fontId="3" fillId="0" borderId="1" xfId="1" applyBorder="1" applyAlignment="1">
      <alignment horizontal="left" vertical="top" wrapText="1"/>
    </xf>
    <xf numFmtId="0" fontId="40" fillId="2" borderId="11" xfId="0" applyFont="1" applyFill="1" applyBorder="1" applyAlignment="1">
      <alignment horizontal="left" vertical="top" wrapText="1"/>
    </xf>
    <xf numFmtId="0" fontId="41" fillId="2" borderId="11" xfId="0" applyFont="1" applyFill="1" applyBorder="1" applyAlignment="1">
      <alignment horizontal="left" vertical="top" wrapText="1"/>
    </xf>
    <xf numFmtId="0" fontId="41" fillId="2" borderId="11" xfId="0" applyFont="1" applyFill="1" applyBorder="1" applyAlignment="1">
      <alignment vertical="top" wrapText="1"/>
    </xf>
    <xf numFmtId="0" fontId="40" fillId="2" borderId="11" xfId="0" applyFont="1" applyFill="1" applyBorder="1" applyAlignment="1">
      <alignment vertical="top" wrapText="1"/>
    </xf>
    <xf numFmtId="0" fontId="40" fillId="2" borderId="0" xfId="0" applyFont="1" applyFill="1" applyAlignment="1">
      <alignment vertical="top" wrapText="1"/>
    </xf>
    <xf numFmtId="0" fontId="40" fillId="2" borderId="12" xfId="0" applyFont="1" applyFill="1" applyBorder="1" applyAlignment="1">
      <alignment vertical="top" wrapText="1"/>
    </xf>
    <xf numFmtId="0" fontId="40" fillId="2" borderId="1" xfId="0" applyFont="1" applyFill="1" applyBorder="1" applyAlignment="1">
      <alignment vertical="top" wrapText="1"/>
    </xf>
    <xf numFmtId="0" fontId="0" fillId="0" borderId="0" xfId="0" applyFont="1" applyAlignment="1">
      <alignment wrapText="1"/>
    </xf>
    <xf numFmtId="0" fontId="40" fillId="0" borderId="12" xfId="0" applyFont="1" applyFill="1" applyBorder="1" applyAlignment="1">
      <alignment vertical="top" wrapText="1"/>
    </xf>
    <xf numFmtId="0" fontId="40" fillId="2" borderId="0" xfId="0" applyFont="1" applyFill="1" applyBorder="1" applyAlignment="1">
      <alignment vertical="top" wrapText="1"/>
    </xf>
    <xf numFmtId="0" fontId="0" fillId="0" borderId="0" xfId="0" applyFont="1" applyAlignment="1">
      <alignment horizontal="left" vertical="top"/>
    </xf>
    <xf numFmtId="0" fontId="41" fillId="2" borderId="12" xfId="0" applyFont="1" applyFill="1" applyBorder="1" applyAlignment="1">
      <alignment vertical="top" wrapText="1"/>
    </xf>
    <xf numFmtId="0" fontId="40" fillId="0" borderId="11" xfId="0" applyFont="1" applyFill="1" applyBorder="1" applyAlignment="1">
      <alignment vertical="top" wrapText="1"/>
    </xf>
    <xf numFmtId="0" fontId="41" fillId="0" borderId="11" xfId="0" applyFont="1" applyFill="1" applyBorder="1" applyAlignment="1">
      <alignment vertical="top" wrapText="1"/>
    </xf>
    <xf numFmtId="0" fontId="40" fillId="0" borderId="1" xfId="0" applyFont="1" applyFill="1" applyBorder="1" applyAlignment="1">
      <alignment vertical="top" wrapText="1"/>
    </xf>
    <xf numFmtId="0" fontId="0" fillId="0" borderId="0" xfId="0" applyFont="1" applyFill="1" applyAlignment="1">
      <alignment wrapText="1"/>
    </xf>
    <xf numFmtId="0" fontId="0" fillId="0" borderId="5" xfId="0" applyFont="1" applyFill="1" applyBorder="1" applyAlignment="1">
      <alignment horizontal="left" vertical="top" wrapText="1"/>
    </xf>
    <xf numFmtId="0" fontId="40" fillId="0" borderId="11" xfId="0" applyFont="1" applyBorder="1" applyAlignment="1">
      <alignment horizontal="left" vertical="top" wrapText="1"/>
    </xf>
    <xf numFmtId="0" fontId="40" fillId="0" borderId="5" xfId="0" applyFont="1" applyBorder="1" applyAlignment="1">
      <alignment horizontal="left" vertical="top" wrapText="1"/>
    </xf>
    <xf numFmtId="0" fontId="0" fillId="0" borderId="11" xfId="0" applyFont="1" applyFill="1" applyBorder="1" applyAlignment="1">
      <alignment horizontal="left" vertical="top" wrapText="1"/>
    </xf>
    <xf numFmtId="0" fontId="0" fillId="0" borderId="12" xfId="0" applyFont="1" applyFill="1" applyBorder="1" applyAlignment="1">
      <alignment horizontal="left" vertical="top" wrapText="1"/>
    </xf>
    <xf numFmtId="0" fontId="40" fillId="0" borderId="15" xfId="0" applyFont="1" applyFill="1" applyBorder="1" applyAlignment="1">
      <alignment vertical="top" wrapText="1"/>
    </xf>
    <xf numFmtId="0" fontId="41" fillId="0" borderId="15" xfId="0" applyFont="1" applyFill="1" applyBorder="1" applyAlignment="1">
      <alignment vertical="top" wrapText="1"/>
    </xf>
    <xf numFmtId="0" fontId="40" fillId="0" borderId="16" xfId="0" applyFont="1" applyFill="1" applyBorder="1" applyAlignment="1">
      <alignment vertical="top" wrapText="1"/>
    </xf>
    <xf numFmtId="0" fontId="40" fillId="0" borderId="14" xfId="0" applyFont="1" applyFill="1" applyBorder="1" applyAlignment="1">
      <alignment vertical="top" wrapText="1"/>
    </xf>
    <xf numFmtId="0" fontId="0" fillId="0" borderId="2" xfId="0" applyBorder="1" applyAlignment="1">
      <alignment vertical="center" wrapText="1"/>
    </xf>
    <xf numFmtId="0" fontId="0" fillId="0" borderId="18" xfId="0" applyBorder="1" applyAlignment="1">
      <alignment vertical="center" wrapText="1"/>
    </xf>
    <xf numFmtId="0" fontId="12" fillId="2" borderId="1" xfId="0" applyFont="1" applyFill="1" applyBorder="1" applyAlignment="1">
      <alignment horizontal="left" vertical="top" wrapText="1"/>
    </xf>
    <xf numFmtId="0" fontId="1" fillId="0" borderId="0" xfId="0" applyFont="1" applyFill="1" applyAlignment="1">
      <alignment wrapText="1"/>
    </xf>
    <xf numFmtId="0" fontId="4" fillId="5" borderId="1" xfId="0" applyFont="1" applyFill="1" applyBorder="1" applyAlignment="1">
      <alignment horizontal="center"/>
    </xf>
    <xf numFmtId="0" fontId="31" fillId="7" borderId="5" xfId="0" applyFont="1" applyFill="1" applyBorder="1" applyAlignment="1">
      <alignment horizontal="center" vertical="top" wrapText="1"/>
    </xf>
    <xf numFmtId="0" fontId="31" fillId="7" borderId="6" xfId="0" applyFont="1" applyFill="1" applyBorder="1" applyAlignment="1">
      <alignment horizontal="center" vertical="top" wrapText="1"/>
    </xf>
    <xf numFmtId="0" fontId="31" fillId="7" borderId="7" xfId="0" applyFont="1" applyFill="1" applyBorder="1" applyAlignment="1">
      <alignment horizontal="center" vertical="top" wrapText="1"/>
    </xf>
    <xf numFmtId="0" fontId="6" fillId="5" borderId="1" xfId="0" applyFont="1" applyFill="1" applyBorder="1" applyAlignment="1">
      <alignment horizontal="center" vertical="top"/>
    </xf>
    <xf numFmtId="0" fontId="7" fillId="5" borderId="1" xfId="0" applyFont="1" applyFill="1" applyBorder="1" applyAlignment="1">
      <alignment horizontal="center" vertical="top"/>
    </xf>
    <xf numFmtId="0" fontId="38" fillId="0" borderId="0" xfId="0" applyFont="1" applyFill="1" applyAlignment="1">
      <alignment horizontal="center" vertical="top"/>
    </xf>
    <xf numFmtId="0" fontId="34" fillId="12" borderId="17" xfId="0" applyFont="1" applyFill="1" applyBorder="1" applyAlignment="1">
      <alignment horizontal="center" vertical="top" wrapText="1"/>
    </xf>
    <xf numFmtId="0" fontId="34" fillId="12" borderId="0" xfId="0" applyFont="1" applyFill="1" applyBorder="1" applyAlignment="1">
      <alignment horizontal="center" vertical="top" wrapText="1"/>
    </xf>
    <xf numFmtId="0" fontId="34" fillId="12" borderId="13" xfId="0" applyFont="1" applyFill="1" applyBorder="1" applyAlignment="1">
      <alignment horizontal="center" vertical="top" wrapText="1"/>
    </xf>
    <xf numFmtId="0" fontId="6" fillId="8" borderId="1" xfId="0" applyFont="1" applyFill="1" applyBorder="1" applyAlignment="1">
      <alignment horizontal="center" vertical="top" wrapText="1"/>
    </xf>
    <xf numFmtId="0" fontId="6" fillId="5" borderId="4" xfId="0" applyFont="1" applyFill="1" applyBorder="1" applyAlignment="1">
      <alignment horizontal="center" wrapText="1"/>
    </xf>
  </cellXfs>
  <cellStyles count="54">
    <cellStyle name="Bad 2" xfId="4" xr:uid="{00000000-0005-0000-0000-000000000000}"/>
    <cellStyle name="Comma 2" xfId="5" xr:uid="{00000000-0005-0000-0000-000001000000}"/>
    <cellStyle name="Comma 2 2" xfId="6" xr:uid="{00000000-0005-0000-0000-000002000000}"/>
    <cellStyle name="Comma 2 2 2" xfId="7" xr:uid="{00000000-0005-0000-0000-000003000000}"/>
    <cellStyle name="Comma 2 3" xfId="8" xr:uid="{00000000-0005-0000-0000-000004000000}"/>
    <cellStyle name="Comma 2 3 2" xfId="9" xr:uid="{00000000-0005-0000-0000-000005000000}"/>
    <cellStyle name="Comma 2 4" xfId="10" xr:uid="{00000000-0005-0000-0000-000006000000}"/>
    <cellStyle name="Comma 3" xfId="11" xr:uid="{00000000-0005-0000-0000-000007000000}"/>
    <cellStyle name="Comma 3 2" xfId="12" xr:uid="{00000000-0005-0000-0000-000008000000}"/>
    <cellStyle name="Comma 3 2 2" xfId="13" xr:uid="{00000000-0005-0000-0000-000009000000}"/>
    <cellStyle name="Comma 3 3" xfId="14" xr:uid="{00000000-0005-0000-0000-00000A000000}"/>
    <cellStyle name="Comma 4" xfId="15" xr:uid="{00000000-0005-0000-0000-00000B000000}"/>
    <cellStyle name="Comma 4 2" xfId="16" xr:uid="{00000000-0005-0000-0000-00000C000000}"/>
    <cellStyle name="Comma 4 2 2" xfId="17" xr:uid="{00000000-0005-0000-0000-00000D000000}"/>
    <cellStyle name="Comma 4 3" xfId="18" xr:uid="{00000000-0005-0000-0000-00000E000000}"/>
    <cellStyle name="Currency 2" xfId="19" xr:uid="{00000000-0005-0000-0000-00000F000000}"/>
    <cellStyle name="Currency 2 2" xfId="20" xr:uid="{00000000-0005-0000-0000-000010000000}"/>
    <cellStyle name="Currency 2 2 2" xfId="21" xr:uid="{00000000-0005-0000-0000-000011000000}"/>
    <cellStyle name="Currency 2 3" xfId="22" xr:uid="{00000000-0005-0000-0000-000012000000}"/>
    <cellStyle name="Currency 3" xfId="23" xr:uid="{00000000-0005-0000-0000-000013000000}"/>
    <cellStyle name="Currency 3 2" xfId="24" xr:uid="{00000000-0005-0000-0000-000014000000}"/>
    <cellStyle name="Currency 3 2 2" xfId="25" xr:uid="{00000000-0005-0000-0000-000015000000}"/>
    <cellStyle name="Currency 3 3" xfId="26" xr:uid="{00000000-0005-0000-0000-000016000000}"/>
    <cellStyle name="Currency 4" xfId="27" xr:uid="{00000000-0005-0000-0000-000017000000}"/>
    <cellStyle name="Currency 4 2" xfId="28" xr:uid="{00000000-0005-0000-0000-000018000000}"/>
    <cellStyle name="Currency 4 2 2" xfId="29" xr:uid="{00000000-0005-0000-0000-000019000000}"/>
    <cellStyle name="Currency 4 3" xfId="30" xr:uid="{00000000-0005-0000-0000-00001A000000}"/>
    <cellStyle name="Hyperlink" xfId="3" builtinId="8"/>
    <cellStyle name="L2" xfId="31" xr:uid="{00000000-0005-0000-0000-00001C000000}"/>
    <cellStyle name="L3" xfId="32" xr:uid="{00000000-0005-0000-0000-00001D000000}"/>
    <cellStyle name="Normal" xfId="0" builtinId="0"/>
    <cellStyle name="Normal 2" xfId="1" xr:uid="{00000000-0005-0000-0000-00001F000000}"/>
    <cellStyle name="Normal 2 2" xfId="33" xr:uid="{00000000-0005-0000-0000-000020000000}"/>
    <cellStyle name="Normal 2 2 2" xfId="34" xr:uid="{00000000-0005-0000-0000-000021000000}"/>
    <cellStyle name="Normal 2 3" xfId="35" xr:uid="{00000000-0005-0000-0000-000022000000}"/>
    <cellStyle name="Normal 3" xfId="36" xr:uid="{00000000-0005-0000-0000-000023000000}"/>
    <cellStyle name="Normal 3 2" xfId="37" xr:uid="{00000000-0005-0000-0000-000024000000}"/>
    <cellStyle name="Normal 3 2 2" xfId="38" xr:uid="{00000000-0005-0000-0000-000025000000}"/>
    <cellStyle name="Normal 3 3" xfId="39" xr:uid="{00000000-0005-0000-0000-000026000000}"/>
    <cellStyle name="Normal 4" xfId="40" xr:uid="{00000000-0005-0000-0000-000027000000}"/>
    <cellStyle name="Normal 5" xfId="41" xr:uid="{00000000-0005-0000-0000-000028000000}"/>
    <cellStyle name="Normal 6" xfId="42" xr:uid="{00000000-0005-0000-0000-000029000000}"/>
    <cellStyle name="Normal 6 2" xfId="43" xr:uid="{00000000-0005-0000-0000-00002A000000}"/>
    <cellStyle name="Normal 7" xfId="44" xr:uid="{00000000-0005-0000-0000-00002B000000}"/>
    <cellStyle name="Normal 7 2" xfId="45" xr:uid="{00000000-0005-0000-0000-00002C000000}"/>
    <cellStyle name="Normal 8" xfId="2" xr:uid="{00000000-0005-0000-0000-00002D000000}"/>
    <cellStyle name="Normal 9" xfId="53" xr:uid="{00000000-0005-0000-0000-00002E000000}"/>
    <cellStyle name="Percent 2" xfId="46" xr:uid="{00000000-0005-0000-0000-00002F000000}"/>
    <cellStyle name="Percent 2 2" xfId="47" xr:uid="{00000000-0005-0000-0000-000030000000}"/>
    <cellStyle name="Percent 3" xfId="48" xr:uid="{00000000-0005-0000-0000-000031000000}"/>
    <cellStyle name="Percent 3 2" xfId="49" xr:uid="{00000000-0005-0000-0000-000032000000}"/>
    <cellStyle name="Percent 4" xfId="50" xr:uid="{00000000-0005-0000-0000-000033000000}"/>
    <cellStyle name="Percent 4 2" xfId="51" xr:uid="{00000000-0005-0000-0000-000034000000}"/>
    <cellStyle name="Style 1" xfId="52" xr:uid="{00000000-0005-0000-0000-00003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0</xdr:row>
      <xdr:rowOff>57150</xdr:rowOff>
    </xdr:from>
    <xdr:to>
      <xdr:col>0</xdr:col>
      <xdr:colOff>4333875</xdr:colOff>
      <xdr:row>0</xdr:row>
      <xdr:rowOff>638175</xdr:rowOff>
    </xdr:to>
    <xdr:pic>
      <xdr:nvPicPr>
        <xdr:cNvPr id="2" name="Picture 1">
          <a:extLst>
            <a:ext uri="{FF2B5EF4-FFF2-40B4-BE49-F238E27FC236}">
              <a16:creationId xmlns:a16="http://schemas.microsoft.com/office/drawing/2014/main" id="{B7DE5590-9CE0-40DA-9CA5-51105B6DBC2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57150"/>
          <a:ext cx="4328340" cy="56387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Aflac/Example%20Documents/WoW%20PAS%20CBA%20Model%20-%20v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ymcdn.com/Users/E09389/Desktop/CBA%20Models/Most%20Current%20Models/Claims%20CBA%20(E2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Product%20Admin%20System%20CBA%20(UPDATE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c.ymcdn.com/Users/gatandon/AppData/Local/Microsoft/Windows/Temporary%20Internet%20Files/Content.Outlook/QU0DTINP/Aflac_CBA_Growth_v7%2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Aflac/CBA/Aflac%20CBA_20120926_v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Table of Contents"/>
      <sheetName val="Dashboard"/>
      <sheetName val="Calculations"/>
      <sheetName val="Cost Input"/>
      <sheetName val="Benefit Input"/>
      <sheetName val="Dashboard Input"/>
      <sheetName val="Benefits Overview"/>
      <sheetName val="Costs Overview"/>
      <sheetName val="Cost Probabilities"/>
      <sheetName val="Benefit Probabilities"/>
      <sheetName val="Risk Input"/>
      <sheetName val="Summary"/>
      <sheetName val="One-Time &amp; Imp. Cost Summary"/>
      <sheetName val="Infrastructure Costs"/>
      <sheetName val="B-I - HW,SW"/>
      <sheetName val="B-II - Bus Tech"/>
      <sheetName val="B-III - Core Ops"/>
      <sheetName val="B-IV - All Else"/>
      <sheetName val="B-V - PAS Last"/>
      <sheetName val="BEN-VI - Intangible"/>
      <sheetName val="C-I - Bus Tech"/>
      <sheetName val="C-II - Core Ops"/>
      <sheetName val="C-III - Actuary"/>
      <sheetName val="C-IV - Other Recurring"/>
      <sheetName val="C-V - Other Emp Costs"/>
      <sheetName val="V - CSC"/>
      <sheetName val="V - se2"/>
      <sheetName val="InfoMcC Pricing Summary"/>
      <sheetName val="VENDOR - Infosys-McC"/>
      <sheetName val="DB - Departments"/>
      <sheetName val="DB - Rates, Emp Costs"/>
      <sheetName val="DB - Cert Growth"/>
      <sheetName val="Assumptions"/>
    </sheetNames>
    <sheetDataSet>
      <sheetData sheetId="0"/>
      <sheetData sheetId="1"/>
      <sheetData sheetId="2">
        <row r="31">
          <cell r="D31" t="str">
            <v>se2</v>
          </cell>
        </row>
      </sheetData>
      <sheetData sheetId="3"/>
      <sheetData sheetId="4">
        <row r="11">
          <cell r="A11" t="str">
            <v>HARDC-I - Business Technology Implementation Costs</v>
          </cell>
          <cell r="B11" t="str">
            <v>C-I - Business Technology Implementation Costs</v>
          </cell>
          <cell r="D11">
            <v>0</v>
          </cell>
          <cell r="E11">
            <v>5628866.666666667</v>
          </cell>
          <cell r="F11">
            <v>5628866.666666667</v>
          </cell>
          <cell r="G11">
            <v>5628866.666666667</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row>
        <row r="12">
          <cell r="A12" t="str">
            <v>HARDC-II - Core Operations Implementation Costs</v>
          </cell>
          <cell r="B12" t="str">
            <v>C-II - Core Operations Implementation Costs</v>
          </cell>
          <cell r="D12">
            <v>0</v>
          </cell>
          <cell r="E12">
            <v>1408328.613285939</v>
          </cell>
          <cell r="F12">
            <v>1408328.613285939</v>
          </cell>
          <cell r="G12">
            <v>1408328.613285939</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row>
        <row r="13">
          <cell r="A13" t="str">
            <v>HARDC-III - Actuary Implementation Costs</v>
          </cell>
          <cell r="B13" t="str">
            <v>C-III - Actuary Implementation Costs</v>
          </cell>
          <cell r="D13">
            <v>0</v>
          </cell>
          <cell r="E13">
            <v>385000</v>
          </cell>
          <cell r="F13">
            <v>385000</v>
          </cell>
          <cell r="G13">
            <v>385000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row>
        <row r="14">
          <cell r="A14" t="str">
            <v>HARDC-IV - Other Recurring Costs</v>
          </cell>
          <cell r="B14" t="str">
            <v>C-IV - Other Recurring Costs</v>
          </cell>
          <cell r="D14">
            <v>0</v>
          </cell>
          <cell r="E14">
            <v>0</v>
          </cell>
          <cell r="F14">
            <v>156121.1925</v>
          </cell>
          <cell r="G14">
            <v>360355.59787500004</v>
          </cell>
          <cell r="H14">
            <v>378373.37776875007</v>
          </cell>
          <cell r="I14">
            <v>397292.04665718751</v>
          </cell>
          <cell r="J14">
            <v>417156.64899004693</v>
          </cell>
          <cell r="K14">
            <v>438014.48143954924</v>
          </cell>
          <cell r="L14">
            <v>459915.20551152679</v>
          </cell>
          <cell r="M14">
            <v>482910.96578710305</v>
          </cell>
          <cell r="N14">
            <v>507056.51407645823</v>
          </cell>
          <cell r="O14">
            <v>532409.33978028118</v>
          </cell>
          <cell r="P14">
            <v>559029.80676929525</v>
          </cell>
          <cell r="Q14">
            <v>586981.29710775998</v>
          </cell>
          <cell r="R14">
            <v>616330.361963148</v>
          </cell>
          <cell r="S14">
            <v>647146.88006130524</v>
          </cell>
          <cell r="T14">
            <v>679504.22406437073</v>
          </cell>
          <cell r="U14">
            <v>713479.43526758929</v>
          </cell>
          <cell r="V14">
            <v>749153.40703096881</v>
          </cell>
          <cell r="W14">
            <v>786611.07738251728</v>
          </cell>
          <cell r="X14">
            <v>825941.63125164306</v>
          </cell>
        </row>
        <row r="15">
          <cell r="A15" t="str">
            <v>HARDC-V - All Else Implementation Costs</v>
          </cell>
          <cell r="B15" t="str">
            <v>C-V - All Else Implementation Costs</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row>
        <row r="16">
          <cell r="B16" t="str">
            <v>Vendor Costs</v>
          </cell>
        </row>
        <row r="17">
          <cell r="A17" t="str">
            <v>HARDV-Rec - Recurring Vendor Fees</v>
          </cell>
          <cell r="B17" t="str">
            <v>V-Rec - Recurring Vendor Fees</v>
          </cell>
          <cell r="E17">
            <v>3779868.0385044636</v>
          </cell>
          <cell r="F17">
            <v>4841375.2615479911</v>
          </cell>
          <cell r="G17">
            <v>9553969.8102299999</v>
          </cell>
          <cell r="H17">
            <v>9827088.9045368992</v>
          </cell>
          <cell r="I17">
            <v>10108401.571673006</v>
          </cell>
          <cell r="J17">
            <v>10398153.618823199</v>
          </cell>
          <cell r="K17">
            <v>10696598.227387892</v>
          </cell>
          <cell r="L17">
            <v>11003996.17420953</v>
          </cell>
          <cell r="M17">
            <v>11320616.059435816</v>
          </cell>
          <cell r="N17">
            <v>11646734.54121889</v>
          </cell>
          <cell r="O17">
            <v>11982636.577455455</v>
          </cell>
          <cell r="P17">
            <v>12328615.674779121</v>
          </cell>
          <cell r="Q17">
            <v>12684974.145022493</v>
          </cell>
          <cell r="R17">
            <v>13052023.369373169</v>
          </cell>
          <cell r="S17">
            <v>13430084.070454365</v>
          </cell>
          <cell r="T17">
            <v>13819486.592567997</v>
          </cell>
          <cell r="U17">
            <v>14220571.190345036</v>
          </cell>
          <cell r="V17">
            <v>14633688.326055385</v>
          </cell>
          <cell r="W17">
            <v>15059198.975837046</v>
          </cell>
          <cell r="X17">
            <v>15497474.945112159</v>
          </cell>
        </row>
        <row r="18">
          <cell r="A18" t="str">
            <v>HARDV-Imp - Vendor Implementation Fees</v>
          </cell>
          <cell r="B18" t="str">
            <v>V-Imp - Vendor Implementation Fees</v>
          </cell>
          <cell r="E18">
            <v>7300000</v>
          </cell>
          <cell r="F18">
            <v>5250000</v>
          </cell>
          <cell r="G18">
            <v>5250000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row>
        <row r="19">
          <cell r="A19" t="str">
            <v>HARDV-Gap.Rec - Gap Closure Recurring Fees</v>
          </cell>
          <cell r="B19" t="str">
            <v>V-Gap.Rec - Gap Closure Recurring Fees</v>
          </cell>
          <cell r="E19">
            <v>315000</v>
          </cell>
          <cell r="F19">
            <v>324450</v>
          </cell>
          <cell r="G19">
            <v>334183.5</v>
          </cell>
          <cell r="H19">
            <v>344209.005</v>
          </cell>
          <cell r="I19">
            <v>354535.27515</v>
          </cell>
          <cell r="J19">
            <v>365171.33340449998</v>
          </cell>
          <cell r="K19">
            <v>376126.47340663499</v>
          </cell>
          <cell r="L19">
            <v>387410.26760883402</v>
          </cell>
          <cell r="M19">
            <v>399032.57563709904</v>
          </cell>
          <cell r="N19">
            <v>411003.55290621199</v>
          </cell>
          <cell r="O19">
            <v>423333.65949339839</v>
          </cell>
          <cell r="P19">
            <v>436033.66927820031</v>
          </cell>
          <cell r="Q19">
            <v>449114.67935654626</v>
          </cell>
          <cell r="R19">
            <v>462588.11973724264</v>
          </cell>
          <cell r="S19">
            <v>476465.76332935999</v>
          </cell>
          <cell r="T19">
            <v>490759.73622924078</v>
          </cell>
          <cell r="U19">
            <v>505482.52831611794</v>
          </cell>
          <cell r="V19">
            <v>520647.00416560145</v>
          </cell>
          <cell r="W19">
            <v>536266.41429056949</v>
          </cell>
          <cell r="X19">
            <v>552354.40671928658</v>
          </cell>
        </row>
        <row r="20">
          <cell r="A20" t="str">
            <v>HARDV-Gap.Imp - Gap Closure Implementation Fees</v>
          </cell>
          <cell r="B20" t="str">
            <v>V-Gap.Imp - Gap Closure Implementation Fees</v>
          </cell>
          <cell r="D20">
            <v>0</v>
          </cell>
          <cell r="E20">
            <v>399859.55056179775</v>
          </cell>
          <cell r="F20">
            <v>287570.2247191011</v>
          </cell>
          <cell r="G20">
            <v>287570.2247191011</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row>
        <row r="21">
          <cell r="A21" t="str">
            <v>HARDOther Implementation Costs</v>
          </cell>
          <cell r="B21" t="str">
            <v>Other Implementation Costs</v>
          </cell>
        </row>
        <row r="22">
          <cell r="A22" t="str">
            <v>HARDOther Employee-Related Cost</v>
          </cell>
          <cell r="B22" t="str">
            <v>Other Employee-Related Cost</v>
          </cell>
          <cell r="E22">
            <v>1120121.2658432554</v>
          </cell>
          <cell r="F22">
            <v>1120121.2658432554</v>
          </cell>
          <cell r="G22">
            <v>1120121.2658432554</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row>
        <row r="23">
          <cell r="A23" t="str">
            <v>HARDOverhead and Contingency</v>
          </cell>
          <cell r="B23" t="str">
            <v>Overhead and Contingency</v>
          </cell>
        </row>
        <row r="24">
          <cell r="A24" t="str">
            <v>HARDProject Management (EPMO) Time</v>
          </cell>
          <cell r="B24" t="str">
            <v>Project Management (EPMO) Time</v>
          </cell>
          <cell r="E24">
            <v>1113329.2919928909</v>
          </cell>
          <cell r="F24">
            <v>1113329.2919928909</v>
          </cell>
          <cell r="G24">
            <v>1113329.2919928909</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row>
        <row r="25">
          <cell r="A25" t="str">
            <v>HARDLeadership Overhead Time</v>
          </cell>
          <cell r="B25" t="str">
            <v>Leadership Overhead Time</v>
          </cell>
          <cell r="E25">
            <v>371109.76399763033</v>
          </cell>
          <cell r="F25">
            <v>371109.76399763033</v>
          </cell>
          <cell r="G25">
            <v>371109.76399763033</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row>
        <row r="26">
          <cell r="A26" t="str">
            <v>HARD</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row>
        <row r="27">
          <cell r="A27" t="str">
            <v>HARD</v>
          </cell>
        </row>
        <row r="28">
          <cell r="A28" t="str">
            <v>HARD</v>
          </cell>
        </row>
        <row r="29">
          <cell r="A29" t="str">
            <v>HARDContingency for Implementation</v>
          </cell>
          <cell r="B29" t="str">
            <v>Contingency for Implementation</v>
          </cell>
          <cell r="E29">
            <v>7090646.0609392738</v>
          </cell>
          <cell r="F29">
            <v>6225730.3306021951</v>
          </cell>
          <cell r="G29">
            <v>6225730.3306021951</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A30" t="str">
            <v>HARD</v>
          </cell>
        </row>
        <row r="31">
          <cell r="A31" t="str">
            <v>HARD</v>
          </cell>
        </row>
        <row r="32">
          <cell r="A32" t="str">
            <v>HARD</v>
          </cell>
        </row>
        <row r="33">
          <cell r="A33" t="str">
            <v>HARD</v>
          </cell>
        </row>
        <row r="34">
          <cell r="A34" t="str">
            <v>HARD</v>
          </cell>
        </row>
        <row r="35">
          <cell r="A35" t="str">
            <v>HARD</v>
          </cell>
        </row>
        <row r="36">
          <cell r="A36" t="str">
            <v>HARD</v>
          </cell>
        </row>
        <row r="37">
          <cell r="A37" t="str">
            <v>HARD</v>
          </cell>
        </row>
        <row r="38">
          <cell r="A38" t="str">
            <v>HARD</v>
          </cell>
        </row>
        <row r="39">
          <cell r="A39" t="str">
            <v>HARD</v>
          </cell>
        </row>
        <row r="40">
          <cell r="A40" t="str">
            <v>HARD</v>
          </cell>
        </row>
        <row r="41">
          <cell r="A41" t="str">
            <v>HARD</v>
          </cell>
        </row>
        <row r="42">
          <cell r="B42" t="str">
            <v>Total Hard Cost</v>
          </cell>
          <cell r="D42">
            <v>0</v>
          </cell>
          <cell r="E42">
            <v>28912129.251791921</v>
          </cell>
          <cell r="F42">
            <v>27112002.611155666</v>
          </cell>
          <cell r="G42">
            <v>32038565.065212674</v>
          </cell>
          <cell r="H42">
            <v>10549671.287305649</v>
          </cell>
          <cell r="I42">
            <v>10860228.893480193</v>
          </cell>
          <cell r="J42">
            <v>11180481.601217745</v>
          </cell>
          <cell r="K42">
            <v>11510739.182234077</v>
          </cell>
          <cell r="L42">
            <v>11851321.647329891</v>
          </cell>
          <cell r="M42">
            <v>12202559.600860018</v>
          </cell>
          <cell r="N42">
            <v>12564794.60820156</v>
          </cell>
          <cell r="O42">
            <v>12938379.576729134</v>
          </cell>
          <cell r="P42">
            <v>13323679.150826616</v>
          </cell>
          <cell r="Q42">
            <v>13721070.1214868</v>
          </cell>
          <cell r="R42">
            <v>14130941.851073559</v>
          </cell>
          <cell r="S42">
            <v>14553696.713845031</v>
          </cell>
          <cell r="T42">
            <v>14989750.552861609</v>
          </cell>
          <cell r="U42">
            <v>15439533.153928744</v>
          </cell>
          <cell r="V42">
            <v>15903488.737251954</v>
          </cell>
          <cell r="W42">
            <v>16382076.467510134</v>
          </cell>
          <cell r="X42">
            <v>16875770.983083088</v>
          </cell>
        </row>
        <row r="43">
          <cell r="A43" t="str">
            <v>SOFT</v>
          </cell>
          <cell r="B43" t="str">
            <v>Soft Costs</v>
          </cell>
        </row>
        <row r="44">
          <cell r="A44" t="str">
            <v>SOFT</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row>
        <row r="45">
          <cell r="A45" t="str">
            <v>SOFT</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row>
        <row r="46">
          <cell r="A46" t="str">
            <v>SOFT</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row>
        <row r="47">
          <cell r="A47" t="str">
            <v>SOFT</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row>
        <row r="48">
          <cell r="A48" t="str">
            <v>SOFT</v>
          </cell>
        </row>
        <row r="49">
          <cell r="A49" t="str">
            <v>SOFT</v>
          </cell>
        </row>
        <row r="50">
          <cell r="A50" t="str">
            <v>SOFT</v>
          </cell>
        </row>
        <row r="51">
          <cell r="A51" t="str">
            <v>SOFT</v>
          </cell>
        </row>
        <row r="52">
          <cell r="A52" t="str">
            <v>SOFT</v>
          </cell>
        </row>
        <row r="53">
          <cell r="A53" t="str">
            <v>SOFT</v>
          </cell>
        </row>
        <row r="54">
          <cell r="A54" t="str">
            <v>SOFT</v>
          </cell>
        </row>
        <row r="55">
          <cell r="A55" t="str">
            <v>SOFT</v>
          </cell>
        </row>
        <row r="56">
          <cell r="A56" t="str">
            <v>SOFT</v>
          </cell>
        </row>
        <row r="57">
          <cell r="A57" t="str">
            <v>SOFT</v>
          </cell>
        </row>
        <row r="58">
          <cell r="A58" t="str">
            <v>SOFT</v>
          </cell>
        </row>
        <row r="59">
          <cell r="A59" t="str">
            <v>SOFT</v>
          </cell>
        </row>
        <row r="60">
          <cell r="A60" t="str">
            <v>SOFT</v>
          </cell>
        </row>
        <row r="61">
          <cell r="A61" t="str">
            <v>SOFT</v>
          </cell>
        </row>
        <row r="62">
          <cell r="A62" t="str">
            <v>SOFT</v>
          </cell>
        </row>
        <row r="63">
          <cell r="B63" t="str">
            <v>Total Soft Cost</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row>
        <row r="66">
          <cell r="B66" t="str">
            <v>Total Cost</v>
          </cell>
          <cell r="D66">
            <v>0</v>
          </cell>
          <cell r="E66">
            <v>28912129.251791921</v>
          </cell>
          <cell r="F66">
            <v>27112002.611155666</v>
          </cell>
          <cell r="G66">
            <v>32038565.065212674</v>
          </cell>
          <cell r="H66">
            <v>10549671.287305649</v>
          </cell>
          <cell r="I66">
            <v>10860228.893480193</v>
          </cell>
          <cell r="J66">
            <v>11180481.601217745</v>
          </cell>
          <cell r="K66">
            <v>11510739.182234077</v>
          </cell>
          <cell r="L66">
            <v>11851321.647329891</v>
          </cell>
          <cell r="M66">
            <v>12202559.600860018</v>
          </cell>
          <cell r="N66">
            <v>12564794.60820156</v>
          </cell>
          <cell r="O66">
            <v>12938379.576729134</v>
          </cell>
          <cell r="P66">
            <v>13323679.150826616</v>
          </cell>
          <cell r="Q66">
            <v>13721070.1214868</v>
          </cell>
          <cell r="R66">
            <v>14130941.851073559</v>
          </cell>
          <cell r="S66">
            <v>14553696.713845031</v>
          </cell>
          <cell r="T66">
            <v>14989750.552861609</v>
          </cell>
          <cell r="U66">
            <v>15439533.153928744</v>
          </cell>
          <cell r="V66">
            <v>15903488.737251954</v>
          </cell>
          <cell r="W66">
            <v>16382076.467510134</v>
          </cell>
          <cell r="X66">
            <v>16875770.983083088</v>
          </cell>
        </row>
      </sheetData>
      <sheetData sheetId="5">
        <row r="10">
          <cell r="A10" t="str">
            <v>HARDHardware Maintenance</v>
          </cell>
          <cell r="B10" t="str">
            <v>Hardware Maintenance</v>
          </cell>
          <cell r="D10">
            <v>0</v>
          </cell>
          <cell r="E10">
            <v>0</v>
          </cell>
          <cell r="F10">
            <v>0</v>
          </cell>
          <cell r="G10">
            <v>681575</v>
          </cell>
          <cell r="H10">
            <v>681575</v>
          </cell>
          <cell r="I10">
            <v>681575</v>
          </cell>
          <cell r="J10">
            <v>681575</v>
          </cell>
          <cell r="K10">
            <v>681575</v>
          </cell>
          <cell r="L10">
            <v>681575</v>
          </cell>
          <cell r="M10">
            <v>681575</v>
          </cell>
          <cell r="N10">
            <v>681575</v>
          </cell>
          <cell r="O10">
            <v>681575</v>
          </cell>
          <cell r="P10">
            <v>681575</v>
          </cell>
          <cell r="Q10">
            <v>681575</v>
          </cell>
          <cell r="R10">
            <v>681575</v>
          </cell>
          <cell r="S10">
            <v>681575</v>
          </cell>
          <cell r="T10">
            <v>681575</v>
          </cell>
          <cell r="U10">
            <v>681575</v>
          </cell>
          <cell r="V10">
            <v>681575</v>
          </cell>
          <cell r="W10">
            <v>681575</v>
          </cell>
          <cell r="X10">
            <v>681575</v>
          </cell>
        </row>
        <row r="11">
          <cell r="A11" t="str">
            <v>HARDSoftware Maintenance</v>
          </cell>
          <cell r="B11" t="str">
            <v>Software Maintenance</v>
          </cell>
          <cell r="D11">
            <v>0</v>
          </cell>
          <cell r="E11">
            <v>0</v>
          </cell>
          <cell r="F11">
            <v>0</v>
          </cell>
          <cell r="G11">
            <v>1588249.8</v>
          </cell>
          <cell r="H11">
            <v>1588249.8</v>
          </cell>
          <cell r="I11">
            <v>1588249.8</v>
          </cell>
          <cell r="J11">
            <v>1588249.8</v>
          </cell>
          <cell r="K11">
            <v>1588249.8</v>
          </cell>
          <cell r="L11">
            <v>1588249.8</v>
          </cell>
          <cell r="M11">
            <v>1588249.8</v>
          </cell>
          <cell r="N11">
            <v>1588249.8</v>
          </cell>
          <cell r="O11">
            <v>1588249.8</v>
          </cell>
          <cell r="P11">
            <v>1588249.8</v>
          </cell>
          <cell r="Q11">
            <v>1588249.8</v>
          </cell>
          <cell r="R11">
            <v>1588249.8</v>
          </cell>
          <cell r="S11">
            <v>1588249.8</v>
          </cell>
          <cell r="T11">
            <v>1588249.8</v>
          </cell>
          <cell r="U11">
            <v>1588249.8</v>
          </cell>
          <cell r="V11">
            <v>1588249.8</v>
          </cell>
          <cell r="W11">
            <v>1588249.8</v>
          </cell>
          <cell r="X11">
            <v>1588249.8</v>
          </cell>
        </row>
        <row r="12">
          <cell r="A12" t="str">
            <v>HARDPAS Consulting Fees</v>
          </cell>
          <cell r="B12" t="str">
            <v>PAS Consulting Fees</v>
          </cell>
          <cell r="D12">
            <v>0</v>
          </cell>
          <cell r="E12">
            <v>0</v>
          </cell>
          <cell r="F12">
            <v>0</v>
          </cell>
          <cell r="G12">
            <v>305635</v>
          </cell>
          <cell r="H12">
            <v>305635</v>
          </cell>
          <cell r="I12">
            <v>305635</v>
          </cell>
          <cell r="J12">
            <v>305635</v>
          </cell>
          <cell r="K12">
            <v>305635</v>
          </cell>
          <cell r="L12">
            <v>305635</v>
          </cell>
          <cell r="M12">
            <v>305635</v>
          </cell>
          <cell r="N12">
            <v>305635</v>
          </cell>
          <cell r="O12">
            <v>305635</v>
          </cell>
          <cell r="P12">
            <v>305635</v>
          </cell>
          <cell r="Q12">
            <v>305635</v>
          </cell>
          <cell r="R12">
            <v>305635</v>
          </cell>
          <cell r="S12">
            <v>305635</v>
          </cell>
          <cell r="T12">
            <v>305635</v>
          </cell>
          <cell r="U12">
            <v>305635</v>
          </cell>
          <cell r="V12">
            <v>305635</v>
          </cell>
          <cell r="W12">
            <v>305635</v>
          </cell>
          <cell r="X12">
            <v>305635</v>
          </cell>
        </row>
        <row r="13">
          <cell r="A13" t="str">
            <v>HARDSupporting HW and SW Fees</v>
          </cell>
          <cell r="B13" t="str">
            <v>Supporting HW and SW Fees</v>
          </cell>
          <cell r="D13">
            <v>0</v>
          </cell>
          <cell r="E13">
            <v>0</v>
          </cell>
          <cell r="F13">
            <v>0</v>
          </cell>
          <cell r="G13">
            <v>19200</v>
          </cell>
          <cell r="H13">
            <v>19200</v>
          </cell>
          <cell r="I13">
            <v>19200</v>
          </cell>
          <cell r="J13">
            <v>19200</v>
          </cell>
          <cell r="K13">
            <v>19200</v>
          </cell>
          <cell r="L13">
            <v>19200</v>
          </cell>
          <cell r="M13">
            <v>19200</v>
          </cell>
          <cell r="N13">
            <v>19200</v>
          </cell>
          <cell r="O13">
            <v>19200</v>
          </cell>
          <cell r="P13">
            <v>19200</v>
          </cell>
          <cell r="Q13">
            <v>19200</v>
          </cell>
          <cell r="R13">
            <v>19200</v>
          </cell>
          <cell r="S13">
            <v>19200</v>
          </cell>
          <cell r="T13">
            <v>19200</v>
          </cell>
          <cell r="U13">
            <v>19200</v>
          </cell>
          <cell r="V13">
            <v>19200</v>
          </cell>
          <cell r="W13">
            <v>19200</v>
          </cell>
          <cell r="X13">
            <v>19200</v>
          </cell>
        </row>
        <row r="14">
          <cell r="A14" t="str">
            <v>HARDPAS BT Support Staff</v>
          </cell>
          <cell r="B14" t="str">
            <v>PAS BT Support Staff</v>
          </cell>
          <cell r="D14">
            <v>0</v>
          </cell>
          <cell r="E14">
            <v>0</v>
          </cell>
          <cell r="F14">
            <v>0</v>
          </cell>
          <cell r="G14">
            <v>1005348.4648593751</v>
          </cell>
          <cell r="H14">
            <v>3166847.6643070318</v>
          </cell>
          <cell r="I14">
            <v>4433586.7300298447</v>
          </cell>
          <cell r="J14">
            <v>4655266.0665313369</v>
          </cell>
          <cell r="K14">
            <v>4888029.3698579036</v>
          </cell>
          <cell r="L14">
            <v>5132430.8383507989</v>
          </cell>
          <cell r="M14">
            <v>5389052.3802683381</v>
          </cell>
          <cell r="N14">
            <v>5658504.9992817556</v>
          </cell>
          <cell r="O14">
            <v>5941430.2492458439</v>
          </cell>
          <cell r="P14">
            <v>6238501.7617081366</v>
          </cell>
          <cell r="Q14">
            <v>6550426.8497935422</v>
          </cell>
          <cell r="R14">
            <v>6877948.1922832206</v>
          </cell>
          <cell r="S14">
            <v>7221845.6018973794</v>
          </cell>
          <cell r="T14">
            <v>7582937.8819922516</v>
          </cell>
          <cell r="U14">
            <v>7962084.7760918625</v>
          </cell>
          <cell r="V14">
            <v>8360189.0148964571</v>
          </cell>
          <cell r="W14">
            <v>8778198.4656412806</v>
          </cell>
          <cell r="X14">
            <v>9217108.3889233433</v>
          </cell>
        </row>
        <row r="15">
          <cell r="A15" t="str">
            <v>HARDBT Efficiencies - Simplification of Interface Support</v>
          </cell>
          <cell r="B15" t="str">
            <v>BT Efficiencies - Simplification of Interface Support</v>
          </cell>
          <cell r="D15">
            <v>0</v>
          </cell>
          <cell r="E15">
            <v>0</v>
          </cell>
          <cell r="F15">
            <v>0</v>
          </cell>
          <cell r="G15">
            <v>117758.14903125</v>
          </cell>
          <cell r="H15">
            <v>370938.16944843758</v>
          </cell>
          <cell r="I15">
            <v>519313.43722781242</v>
          </cell>
          <cell r="J15">
            <v>545279.10908920318</v>
          </cell>
          <cell r="K15">
            <v>572543.06454366317</v>
          </cell>
          <cell r="L15">
            <v>601170.21777084644</v>
          </cell>
          <cell r="M15">
            <v>631228.72865938873</v>
          </cell>
          <cell r="N15">
            <v>662790.16509235825</v>
          </cell>
          <cell r="O15">
            <v>695929.67334697617</v>
          </cell>
          <cell r="P15">
            <v>730726.15701432491</v>
          </cell>
          <cell r="Q15">
            <v>767262.46486504108</v>
          </cell>
          <cell r="R15">
            <v>805625.58810829325</v>
          </cell>
          <cell r="S15">
            <v>845906.86751370772</v>
          </cell>
          <cell r="T15">
            <v>888202.21088939346</v>
          </cell>
          <cell r="U15">
            <v>932612.32143386302</v>
          </cell>
          <cell r="V15">
            <v>979242.93750555627</v>
          </cell>
          <cell r="W15">
            <v>1028205.0843808341</v>
          </cell>
          <cell r="X15">
            <v>1079615.3385998758</v>
          </cell>
        </row>
        <row r="16">
          <cell r="A16" t="str">
            <v>HARDBT Efficiencies - Technology Rationalization</v>
          </cell>
          <cell r="B16" t="str">
            <v>BT Efficiencies - Technology Rationalization</v>
          </cell>
          <cell r="D16">
            <v>0</v>
          </cell>
          <cell r="E16">
            <v>0</v>
          </cell>
          <cell r="F16">
            <v>0</v>
          </cell>
          <cell r="G16">
            <v>131992.6505625</v>
          </cell>
          <cell r="H16">
            <v>415776.84927187505</v>
          </cell>
          <cell r="I16">
            <v>582087.58898062503</v>
          </cell>
          <cell r="J16">
            <v>611191.96842965635</v>
          </cell>
          <cell r="K16">
            <v>641751.56685113907</v>
          </cell>
          <cell r="L16">
            <v>673839.14519369614</v>
          </cell>
          <cell r="M16">
            <v>707531.10245338094</v>
          </cell>
          <cell r="N16">
            <v>742907.65757604991</v>
          </cell>
          <cell r="O16">
            <v>780053.04045485251</v>
          </cell>
          <cell r="P16">
            <v>819055.69247759518</v>
          </cell>
          <cell r="Q16">
            <v>860008.47710147477</v>
          </cell>
          <cell r="R16">
            <v>903008.90095654863</v>
          </cell>
          <cell r="S16">
            <v>948159.34600437584</v>
          </cell>
          <cell r="T16">
            <v>995567.31330459507</v>
          </cell>
          <cell r="U16">
            <v>1045345.6789698247</v>
          </cell>
          <cell r="V16">
            <v>1097612.962918316</v>
          </cell>
          <cell r="W16">
            <v>1152493.6110642317</v>
          </cell>
          <cell r="X16">
            <v>1210118.2916174433</v>
          </cell>
        </row>
        <row r="17">
          <cell r="A17" t="str">
            <v>HARDBT Efficiencies - Support of a Modern System</v>
          </cell>
          <cell r="B17" t="str">
            <v>BT Efficiencies - Support of a Modern System</v>
          </cell>
          <cell r="D17">
            <v>0</v>
          </cell>
          <cell r="E17">
            <v>0</v>
          </cell>
          <cell r="F17">
            <v>0</v>
          </cell>
          <cell r="G17">
            <v>105481.377421875</v>
          </cell>
          <cell r="H17">
            <v>332266.33887890627</v>
          </cell>
          <cell r="I17">
            <v>465172.87443046877</v>
          </cell>
          <cell r="J17">
            <v>488431.51815199223</v>
          </cell>
          <cell r="K17">
            <v>512853.09405959176</v>
          </cell>
          <cell r="L17">
            <v>538495.74876257149</v>
          </cell>
          <cell r="M17">
            <v>565420.53620069998</v>
          </cell>
          <cell r="N17">
            <v>593691.56301073497</v>
          </cell>
          <cell r="O17">
            <v>623376.14116127172</v>
          </cell>
          <cell r="P17">
            <v>654544.94821933541</v>
          </cell>
          <cell r="Q17">
            <v>687272.19563030207</v>
          </cell>
          <cell r="R17">
            <v>721635.80541181727</v>
          </cell>
          <cell r="S17">
            <v>757717.59568240796</v>
          </cell>
          <cell r="T17">
            <v>795603.47546652867</v>
          </cell>
          <cell r="U17">
            <v>835383.649239855</v>
          </cell>
          <cell r="V17">
            <v>877152.83170184784</v>
          </cell>
          <cell r="W17">
            <v>921010.47328694025</v>
          </cell>
          <cell r="X17">
            <v>967060.99695128726</v>
          </cell>
        </row>
        <row r="18">
          <cell r="A18" t="str">
            <v>HARDBT Efficiencies - Span of Control</v>
          </cell>
          <cell r="B18" t="str">
            <v>BT Efficiencies - Span of Control</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row>
        <row r="19">
          <cell r="A19" t="str">
            <v>HARDCO Efficiencies - Use of Single System</v>
          </cell>
          <cell r="B19" t="str">
            <v>CO Efficiencies - Use of Single System</v>
          </cell>
          <cell r="D19">
            <v>0</v>
          </cell>
          <cell r="E19">
            <v>0</v>
          </cell>
          <cell r="F19">
            <v>0</v>
          </cell>
          <cell r="G19">
            <v>167994.88728749999</v>
          </cell>
          <cell r="H19">
            <v>529183.89495562518</v>
          </cell>
          <cell r="I19">
            <v>740857.45293787506</v>
          </cell>
          <cell r="J19">
            <v>777900.3255847689</v>
          </cell>
          <cell r="K19">
            <v>816795.34186400718</v>
          </cell>
          <cell r="L19">
            <v>857635.10895720776</v>
          </cell>
          <cell r="M19">
            <v>900516.86440506799</v>
          </cell>
          <cell r="N19">
            <v>945542.70762532146</v>
          </cell>
          <cell r="O19">
            <v>992819.84300658747</v>
          </cell>
          <cell r="P19">
            <v>1042460.835156917</v>
          </cell>
          <cell r="Q19">
            <v>1094583.8769147627</v>
          </cell>
          <cell r="R19">
            <v>1149313.0707605011</v>
          </cell>
          <cell r="S19">
            <v>1206778.7242985258</v>
          </cell>
          <cell r="T19">
            <v>1267117.6605134525</v>
          </cell>
          <cell r="U19">
            <v>1330473.543539125</v>
          </cell>
          <cell r="V19">
            <v>1396997.2207160813</v>
          </cell>
          <cell r="W19">
            <v>1466847.0817518854</v>
          </cell>
          <cell r="X19">
            <v>1540189.4358394798</v>
          </cell>
        </row>
        <row r="20">
          <cell r="A20" t="str">
            <v>HARDCO Efficiencies - Improved Automation</v>
          </cell>
          <cell r="B20" t="str">
            <v>CO Efficiencies - Improved Automation</v>
          </cell>
          <cell r="D20">
            <v>0</v>
          </cell>
          <cell r="E20">
            <v>0</v>
          </cell>
          <cell r="F20">
            <v>0</v>
          </cell>
          <cell r="G20">
            <v>293714.13810375007</v>
          </cell>
          <cell r="H20">
            <v>925199.53502681258</v>
          </cell>
          <cell r="I20">
            <v>1295279.3490375378</v>
          </cell>
          <cell r="J20">
            <v>1360043.316489415</v>
          </cell>
          <cell r="K20">
            <v>1428045.4823138856</v>
          </cell>
          <cell r="L20">
            <v>1499447.75642958</v>
          </cell>
          <cell r="M20">
            <v>1574420.1442510588</v>
          </cell>
          <cell r="N20">
            <v>1653141.151463612</v>
          </cell>
          <cell r="O20">
            <v>1735798.2090367924</v>
          </cell>
          <cell r="P20">
            <v>1822588.1194886323</v>
          </cell>
          <cell r="Q20">
            <v>1913717.5254630635</v>
          </cell>
          <cell r="R20">
            <v>2009403.4017362171</v>
          </cell>
          <cell r="S20">
            <v>2109873.5718230275</v>
          </cell>
          <cell r="T20">
            <v>2215367.2504141796</v>
          </cell>
          <cell r="U20">
            <v>2326135.6129348883</v>
          </cell>
          <cell r="V20">
            <v>2442442.393581633</v>
          </cell>
          <cell r="W20">
            <v>2564564.5132607147</v>
          </cell>
          <cell r="X20">
            <v>2692792.7389237504</v>
          </cell>
        </row>
        <row r="21">
          <cell r="A21" t="str">
            <v>HARDCO Efficiencies - Improved Customer Service Interface</v>
          </cell>
          <cell r="B21" t="str">
            <v>CO Efficiencies - Improved Customer Service Interface</v>
          </cell>
          <cell r="D21">
            <v>0</v>
          </cell>
          <cell r="E21">
            <v>0</v>
          </cell>
          <cell r="F21">
            <v>0</v>
          </cell>
          <cell r="G21">
            <v>39691.099743750012</v>
          </cell>
          <cell r="H21">
            <v>125026.96419281253</v>
          </cell>
          <cell r="I21">
            <v>175037.74986993757</v>
          </cell>
          <cell r="J21">
            <v>183789.63736343445</v>
          </cell>
          <cell r="K21">
            <v>192979.11923160616</v>
          </cell>
          <cell r="L21">
            <v>202628.07519318649</v>
          </cell>
          <cell r="M21">
            <v>212759.47895284579</v>
          </cell>
          <cell r="N21">
            <v>223397.4529004881</v>
          </cell>
          <cell r="O21">
            <v>234567.32554551252</v>
          </cell>
          <cell r="P21">
            <v>246295.69182278815</v>
          </cell>
          <cell r="Q21">
            <v>258610.47641392751</v>
          </cell>
          <cell r="R21">
            <v>271541.00023462396</v>
          </cell>
          <cell r="S21">
            <v>285118.05024635507</v>
          </cell>
          <cell r="T21">
            <v>299373.95275867294</v>
          </cell>
          <cell r="U21">
            <v>314342.65039660654</v>
          </cell>
          <cell r="V21">
            <v>330059.7829164369</v>
          </cell>
          <cell r="W21">
            <v>346562.77206225874</v>
          </cell>
          <cell r="X21">
            <v>363890.91066537169</v>
          </cell>
        </row>
        <row r="22">
          <cell r="A22" t="str">
            <v>HARDCO Efficiencies - Claims Functionality</v>
          </cell>
          <cell r="B22" t="str">
            <v>CO Efficiencies - Claims Functionality</v>
          </cell>
          <cell r="D22">
            <v>0</v>
          </cell>
          <cell r="E22">
            <v>0</v>
          </cell>
          <cell r="F22">
            <v>0</v>
          </cell>
          <cell r="G22">
            <v>83074.394812500002</v>
          </cell>
          <cell r="H22">
            <v>261684.34365937507</v>
          </cell>
          <cell r="I22">
            <v>366358.08112312504</v>
          </cell>
          <cell r="J22">
            <v>384675.98517928133</v>
          </cell>
          <cell r="K22">
            <v>403909.78443824535</v>
          </cell>
          <cell r="L22">
            <v>424105.27366015769</v>
          </cell>
          <cell r="M22">
            <v>445310.53734316549</v>
          </cell>
          <cell r="N22">
            <v>467576.06421032379</v>
          </cell>
          <cell r="O22">
            <v>490954.86742083996</v>
          </cell>
          <cell r="P22">
            <v>515502.61079188203</v>
          </cell>
          <cell r="Q22">
            <v>541277.74133147602</v>
          </cell>
          <cell r="R22">
            <v>568341.62839804997</v>
          </cell>
          <cell r="S22">
            <v>596758.70981795236</v>
          </cell>
          <cell r="T22">
            <v>626596.6453088501</v>
          </cell>
          <cell r="U22">
            <v>657926.47757429257</v>
          </cell>
          <cell r="V22">
            <v>690822.80145300727</v>
          </cell>
          <cell r="W22">
            <v>725363.94152565766</v>
          </cell>
          <cell r="X22">
            <v>761632.13860194047</v>
          </cell>
        </row>
        <row r="23">
          <cell r="A23" t="str">
            <v>HARDCO Efficiencies - Output Automation</v>
          </cell>
          <cell r="B23" t="str">
            <v>CO Efficiencies - Output Automation</v>
          </cell>
          <cell r="D23">
            <v>0</v>
          </cell>
          <cell r="E23">
            <v>0</v>
          </cell>
          <cell r="F23">
            <v>0</v>
          </cell>
          <cell r="G23">
            <v>152303.05715625</v>
          </cell>
          <cell r="H23">
            <v>479754.63004218758</v>
          </cell>
          <cell r="I23">
            <v>671656.48205906246</v>
          </cell>
          <cell r="J23">
            <v>705239.30616201565</v>
          </cell>
          <cell r="K23">
            <v>740501.27147011633</v>
          </cell>
          <cell r="L23">
            <v>777526.3350436223</v>
          </cell>
          <cell r="M23">
            <v>816402.65179580334</v>
          </cell>
          <cell r="N23">
            <v>857222.78438559349</v>
          </cell>
          <cell r="O23">
            <v>900083.92360487324</v>
          </cell>
          <cell r="P23">
            <v>945088.11978511687</v>
          </cell>
          <cell r="Q23">
            <v>992342.52577437263</v>
          </cell>
          <cell r="R23">
            <v>1041959.6520630914</v>
          </cell>
          <cell r="S23">
            <v>1094057.6346662457</v>
          </cell>
          <cell r="T23">
            <v>1148760.5163995584</v>
          </cell>
          <cell r="U23">
            <v>1206198.5422195361</v>
          </cell>
          <cell r="V23">
            <v>1266508.4693305132</v>
          </cell>
          <cell r="W23">
            <v>1329833.8927970389</v>
          </cell>
          <cell r="X23">
            <v>1396325.5874368907</v>
          </cell>
        </row>
        <row r="24">
          <cell r="A24" t="str">
            <v>HARDCO Efficiencies - Additional Payment Methods</v>
          </cell>
          <cell r="B24" t="str">
            <v>CO Efficiencies - Additional Payment Methods</v>
          </cell>
          <cell r="D24">
            <v>0</v>
          </cell>
          <cell r="E24">
            <v>0</v>
          </cell>
          <cell r="F24">
            <v>0</v>
          </cell>
          <cell r="G24">
            <v>56305.978706250011</v>
          </cell>
          <cell r="H24">
            <v>177363.83292468754</v>
          </cell>
          <cell r="I24">
            <v>248309.36609456255</v>
          </cell>
          <cell r="J24">
            <v>260724.8343992907</v>
          </cell>
          <cell r="K24">
            <v>273761.07611925522</v>
          </cell>
          <cell r="L24">
            <v>287449.129925218</v>
          </cell>
          <cell r="M24">
            <v>301821.58642147889</v>
          </cell>
          <cell r="N24">
            <v>316912.66574255284</v>
          </cell>
          <cell r="O24">
            <v>332758.29902968049</v>
          </cell>
          <cell r="P24">
            <v>349396.21398116456</v>
          </cell>
          <cell r="Q24">
            <v>366866.02468022273</v>
          </cell>
          <cell r="R24">
            <v>385209.32591423392</v>
          </cell>
          <cell r="S24">
            <v>404469.7922099455</v>
          </cell>
          <cell r="T24">
            <v>424693.28182044293</v>
          </cell>
          <cell r="U24">
            <v>445927.94591146504</v>
          </cell>
          <cell r="V24">
            <v>468224.34320703836</v>
          </cell>
          <cell r="W24">
            <v>491635.56036739022</v>
          </cell>
          <cell r="X24">
            <v>516217.33838575979</v>
          </cell>
        </row>
        <row r="25">
          <cell r="A25" t="str">
            <v>HARDCO Efficiencies - Self-Service</v>
          </cell>
          <cell r="B25" t="str">
            <v>CO Efficiencies - Self-Service</v>
          </cell>
          <cell r="D25">
            <v>0</v>
          </cell>
          <cell r="E25">
            <v>0</v>
          </cell>
          <cell r="F25">
            <v>0</v>
          </cell>
          <cell r="G25">
            <v>57229.027537500013</v>
          </cell>
          <cell r="H25">
            <v>180271.43674312506</v>
          </cell>
          <cell r="I25">
            <v>252380.01144037503</v>
          </cell>
          <cell r="J25">
            <v>264999.0120123938</v>
          </cell>
          <cell r="K25">
            <v>278248.96261301346</v>
          </cell>
          <cell r="L25">
            <v>292161.41074366419</v>
          </cell>
          <cell r="M25">
            <v>306769.48128084739</v>
          </cell>
          <cell r="N25">
            <v>322107.95534488978</v>
          </cell>
          <cell r="O25">
            <v>338213.35311213427</v>
          </cell>
          <cell r="P25">
            <v>355124.02076774096</v>
          </cell>
          <cell r="Q25">
            <v>372880.22180612799</v>
          </cell>
          <cell r="R25">
            <v>391524.23289643443</v>
          </cell>
          <cell r="S25">
            <v>411100.44454125606</v>
          </cell>
          <cell r="T25">
            <v>431655.46676831902</v>
          </cell>
          <cell r="U25">
            <v>453238.24010673491</v>
          </cell>
          <cell r="V25">
            <v>475900.15211207175</v>
          </cell>
          <cell r="W25">
            <v>499695.1597176753</v>
          </cell>
          <cell r="X25">
            <v>524679.91770355904</v>
          </cell>
        </row>
        <row r="26">
          <cell r="A26" t="str">
            <v>HARDCO Efficiencies - Span of Control</v>
          </cell>
          <cell r="B26" t="str">
            <v>CO Efficiencies - Span of Control</v>
          </cell>
          <cell r="D26">
            <v>0</v>
          </cell>
          <cell r="E26">
            <v>0</v>
          </cell>
          <cell r="F26">
            <v>0</v>
          </cell>
          <cell r="G26">
            <v>294875.78006250027</v>
          </cell>
          <cell r="H26">
            <v>928858.70719687641</v>
          </cell>
          <cell r="I26">
            <v>1300402.1900756264</v>
          </cell>
          <cell r="J26">
            <v>1365422.2995794078</v>
          </cell>
          <cell r="K26">
            <v>1433693.4145583778</v>
          </cell>
          <cell r="L26">
            <v>1505378.0852862971</v>
          </cell>
          <cell r="M26">
            <v>1580646.9895506117</v>
          </cell>
          <cell r="N26">
            <v>1659679.3390281424</v>
          </cell>
          <cell r="O26">
            <v>1742663.3059795497</v>
          </cell>
          <cell r="P26">
            <v>1829796.4712785271</v>
          </cell>
          <cell r="Q26">
            <v>1921286.2948424532</v>
          </cell>
          <cell r="R26">
            <v>2017350.6095845762</v>
          </cell>
          <cell r="S26">
            <v>2118218.1400638046</v>
          </cell>
          <cell r="T26">
            <v>2224129.0470669954</v>
          </cell>
          <cell r="U26">
            <v>2335335.4994203448</v>
          </cell>
          <cell r="V26">
            <v>2452102.2743913624</v>
          </cell>
          <cell r="W26">
            <v>2574707.3881109306</v>
          </cell>
          <cell r="X26">
            <v>2703442.7575164773</v>
          </cell>
        </row>
        <row r="27">
          <cell r="A27" t="str">
            <v>HARDAll Else Efficiencies - Total</v>
          </cell>
          <cell r="B27" t="str">
            <v>All Else Efficiencies - Total</v>
          </cell>
          <cell r="E27">
            <v>0</v>
          </cell>
          <cell r="F27">
            <v>0</v>
          </cell>
          <cell r="G27">
            <v>96894.507937500006</v>
          </cell>
          <cell r="H27">
            <v>305217.70000312506</v>
          </cell>
          <cell r="I27">
            <v>427304.78000437503</v>
          </cell>
          <cell r="J27">
            <v>448670.01900459384</v>
          </cell>
          <cell r="K27">
            <v>471103.51995482342</v>
          </cell>
          <cell r="L27">
            <v>494658.69595256471</v>
          </cell>
          <cell r="M27">
            <v>519391.63075019291</v>
          </cell>
          <cell r="N27">
            <v>545361.2122877026</v>
          </cell>
          <cell r="O27">
            <v>572629.27290208766</v>
          </cell>
          <cell r="P27">
            <v>601260.73654719209</v>
          </cell>
          <cell r="Q27">
            <v>631323.77337455167</v>
          </cell>
          <cell r="R27">
            <v>662889.96204327932</v>
          </cell>
          <cell r="S27">
            <v>696034.4601454431</v>
          </cell>
          <cell r="T27">
            <v>730836.18315271556</v>
          </cell>
          <cell r="U27">
            <v>767377.99231035123</v>
          </cell>
          <cell r="V27">
            <v>805746.89192586893</v>
          </cell>
          <cell r="W27">
            <v>846034.23652216233</v>
          </cell>
          <cell r="X27">
            <v>888335.9483482705</v>
          </cell>
        </row>
        <row r="28">
          <cell r="A28" t="str">
            <v>HARDPAS Last Cost Avoidance</v>
          </cell>
          <cell r="B28" t="str">
            <v>PAS Last Cost Avoidance</v>
          </cell>
          <cell r="E28">
            <v>0</v>
          </cell>
          <cell r="F28">
            <v>0</v>
          </cell>
          <cell r="G28">
            <v>2162625</v>
          </cell>
          <cell r="H28">
            <v>2162625</v>
          </cell>
          <cell r="I28">
            <v>2162625</v>
          </cell>
          <cell r="J28">
            <v>2162625</v>
          </cell>
          <cell r="K28">
            <v>2162625</v>
          </cell>
          <cell r="L28">
            <v>2162625</v>
          </cell>
          <cell r="M28">
            <v>2162625</v>
          </cell>
          <cell r="N28">
            <v>2162625</v>
          </cell>
          <cell r="O28">
            <v>2162625</v>
          </cell>
          <cell r="P28">
            <v>2162625</v>
          </cell>
          <cell r="Q28">
            <v>0</v>
          </cell>
          <cell r="R28">
            <v>0</v>
          </cell>
          <cell r="S28">
            <v>0</v>
          </cell>
          <cell r="T28">
            <v>0</v>
          </cell>
          <cell r="U28">
            <v>0</v>
          </cell>
          <cell r="V28">
            <v>0</v>
          </cell>
          <cell r="W28">
            <v>0</v>
          </cell>
          <cell r="X28">
            <v>0</v>
          </cell>
        </row>
        <row r="29">
          <cell r="A29" t="str">
            <v>HARD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A30" t="str">
            <v>HARD</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row>
        <row r="31">
          <cell r="A31" t="str">
            <v>HARD</v>
          </cell>
        </row>
        <row r="32">
          <cell r="A32" t="str">
            <v>HARD</v>
          </cell>
        </row>
        <row r="33">
          <cell r="A33" t="str">
            <v>HARD</v>
          </cell>
        </row>
        <row r="34">
          <cell r="A34" t="str">
            <v>HARD</v>
          </cell>
        </row>
        <row r="35">
          <cell r="A35" t="str">
            <v>HARD</v>
          </cell>
        </row>
        <row r="36">
          <cell r="A36" t="str">
            <v>HARD</v>
          </cell>
        </row>
        <row r="37">
          <cell r="A37" t="str">
            <v>HARD</v>
          </cell>
        </row>
        <row r="38">
          <cell r="A38" t="str">
            <v>HARD</v>
          </cell>
        </row>
        <row r="39">
          <cell r="A39" t="str">
            <v>HARD</v>
          </cell>
        </row>
        <row r="40">
          <cell r="B40" t="str">
            <v>Total Hard Benefits</v>
          </cell>
          <cell r="D40">
            <v>0</v>
          </cell>
          <cell r="E40">
            <v>0</v>
          </cell>
          <cell r="F40">
            <v>0</v>
          </cell>
          <cell r="G40">
            <v>7359948.3132225005</v>
          </cell>
          <cell r="H40">
            <v>12955674.866650878</v>
          </cell>
          <cell r="I40">
            <v>16235030.893311229</v>
          </cell>
          <cell r="J40">
            <v>16808918.19797679</v>
          </cell>
          <cell r="K40">
            <v>17411499.867875628</v>
          </cell>
          <cell r="L40">
            <v>18044210.621269412</v>
          </cell>
          <cell r="M40">
            <v>18708556.912332878</v>
          </cell>
          <cell r="N40">
            <v>19406120.517949525</v>
          </cell>
          <cell r="O40">
            <v>20138562.303847</v>
          </cell>
          <cell r="P40">
            <v>20907626.179039352</v>
          </cell>
          <cell r="Q40">
            <v>19552518.24799132</v>
          </cell>
          <cell r="R40">
            <v>20400411.170390889</v>
          </cell>
          <cell r="S40">
            <v>21290698.738910425</v>
          </cell>
          <cell r="T40">
            <v>22225500.685855959</v>
          </cell>
          <cell r="U40">
            <v>23207042.730148751</v>
          </cell>
          <cell r="V40">
            <v>24237661.876656186</v>
          </cell>
          <cell r="W40">
            <v>25319811.980488993</v>
          </cell>
          <cell r="X40">
            <v>26456069.589513447</v>
          </cell>
        </row>
        <row r="41">
          <cell r="A41" t="str">
            <v>SOFT</v>
          </cell>
          <cell r="B41" t="str">
            <v>Soft Benefits</v>
          </cell>
        </row>
        <row r="42">
          <cell r="A42" t="str">
            <v>SOFTPersonnel</v>
          </cell>
          <cell r="B42" t="str">
            <v>Personnel</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row>
        <row r="43">
          <cell r="A43" t="str">
            <v>SOFTInternal Resources</v>
          </cell>
          <cell r="B43" t="str">
            <v>Internal Resources</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row>
        <row r="44">
          <cell r="A44" t="str">
            <v>SOFTSoftware Maintenance</v>
          </cell>
          <cell r="B44" t="str">
            <v>Software Maintenance</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row>
        <row r="45">
          <cell r="A45" t="str">
            <v>SOFTTravel</v>
          </cell>
          <cell r="B45" t="str">
            <v>Travel</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row>
        <row r="46">
          <cell r="A46" t="str">
            <v>SOFTCompliance</v>
          </cell>
          <cell r="B46" t="str">
            <v>Compliance</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row>
        <row r="47">
          <cell r="A47" t="str">
            <v>SOFTOther</v>
          </cell>
          <cell r="B47" t="str">
            <v>Other</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row>
        <row r="48">
          <cell r="A48" t="str">
            <v>SOFT</v>
          </cell>
        </row>
        <row r="49">
          <cell r="A49" t="str">
            <v>SOFT</v>
          </cell>
        </row>
        <row r="50">
          <cell r="A50" t="str">
            <v>SOFT</v>
          </cell>
        </row>
        <row r="51">
          <cell r="A51" t="str">
            <v>SOFT</v>
          </cell>
        </row>
        <row r="52">
          <cell r="A52" t="str">
            <v>SOFT</v>
          </cell>
        </row>
        <row r="53">
          <cell r="A53" t="str">
            <v>SOFT</v>
          </cell>
        </row>
        <row r="54">
          <cell r="A54" t="str">
            <v>SOFT</v>
          </cell>
        </row>
        <row r="55">
          <cell r="A55" t="str">
            <v>SOFT</v>
          </cell>
        </row>
        <row r="56">
          <cell r="A56" t="str">
            <v>SOFT</v>
          </cell>
        </row>
        <row r="57">
          <cell r="A57" t="str">
            <v>SOFT</v>
          </cell>
        </row>
        <row r="58">
          <cell r="A58" t="str">
            <v>SOFT</v>
          </cell>
        </row>
        <row r="59">
          <cell r="A59" t="str">
            <v>SOFT</v>
          </cell>
        </row>
        <row r="60">
          <cell r="A60" t="str">
            <v>SOFT</v>
          </cell>
        </row>
        <row r="61">
          <cell r="B61" t="str">
            <v>Total Soft Benefits</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row>
        <row r="64">
          <cell r="B64" t="str">
            <v>Total Benefits</v>
          </cell>
          <cell r="D64">
            <v>0</v>
          </cell>
          <cell r="E64">
            <v>0</v>
          </cell>
          <cell r="F64">
            <v>0</v>
          </cell>
          <cell r="G64">
            <v>7359948.3132225005</v>
          </cell>
          <cell r="H64">
            <v>12955674.866650878</v>
          </cell>
          <cell r="I64">
            <v>16235030.893311229</v>
          </cell>
          <cell r="J64">
            <v>16808918.19797679</v>
          </cell>
          <cell r="K64">
            <v>17411499.867875628</v>
          </cell>
          <cell r="L64">
            <v>18044210.621269412</v>
          </cell>
          <cell r="M64">
            <v>18708556.912332878</v>
          </cell>
          <cell r="N64">
            <v>19406120.517949525</v>
          </cell>
          <cell r="O64">
            <v>20138562.303847</v>
          </cell>
          <cell r="P64">
            <v>20907626.179039352</v>
          </cell>
          <cell r="Q64">
            <v>19552518.24799132</v>
          </cell>
          <cell r="R64">
            <v>20400411.170390889</v>
          </cell>
          <cell r="S64">
            <v>21290698.738910425</v>
          </cell>
          <cell r="T64">
            <v>22225500.685855959</v>
          </cell>
          <cell r="U64">
            <v>23207042.730148751</v>
          </cell>
          <cell r="V64">
            <v>24237661.876656186</v>
          </cell>
          <cell r="W64">
            <v>25319811.980488993</v>
          </cell>
          <cell r="X64">
            <v>26456069.589513447</v>
          </cell>
        </row>
        <row r="66">
          <cell r="A66" t="str">
            <v>OTHER</v>
          </cell>
          <cell r="B66" t="str">
            <v>Other Commitments</v>
          </cell>
        </row>
        <row r="67">
          <cell r="A67" t="str">
            <v xml:space="preserve">OTHERPremium </v>
          </cell>
          <cell r="B67" t="str">
            <v xml:space="preserve">Premium </v>
          </cell>
          <cell r="D67">
            <v>1</v>
          </cell>
          <cell r="E67">
            <v>1</v>
          </cell>
          <cell r="F67">
            <v>1</v>
          </cell>
          <cell r="G67">
            <v>1</v>
          </cell>
          <cell r="H67">
            <v>1</v>
          </cell>
          <cell r="I67">
            <v>1</v>
          </cell>
          <cell r="J67">
            <v>1</v>
          </cell>
          <cell r="K67">
            <v>1</v>
          </cell>
          <cell r="L67">
            <v>1</v>
          </cell>
          <cell r="M67">
            <v>1</v>
          </cell>
          <cell r="N67">
            <v>1</v>
          </cell>
          <cell r="O67">
            <v>1</v>
          </cell>
          <cell r="P67">
            <v>1</v>
          </cell>
          <cell r="Q67">
            <v>1</v>
          </cell>
          <cell r="R67">
            <v>1</v>
          </cell>
          <cell r="S67">
            <v>1</v>
          </cell>
          <cell r="T67">
            <v>1</v>
          </cell>
          <cell r="U67">
            <v>1</v>
          </cell>
          <cell r="V67">
            <v>1</v>
          </cell>
          <cell r="W67">
            <v>1</v>
          </cell>
          <cell r="X67">
            <v>1</v>
          </cell>
        </row>
        <row r="68">
          <cell r="A68" t="str">
            <v>OTHERVolume</v>
          </cell>
          <cell r="B68" t="str">
            <v>Volume</v>
          </cell>
          <cell r="D68">
            <v>1</v>
          </cell>
          <cell r="E68">
            <v>1</v>
          </cell>
          <cell r="F68">
            <v>1</v>
          </cell>
          <cell r="G68">
            <v>1</v>
          </cell>
          <cell r="H68">
            <v>1</v>
          </cell>
          <cell r="I68">
            <v>1</v>
          </cell>
          <cell r="J68">
            <v>1</v>
          </cell>
          <cell r="K68">
            <v>1</v>
          </cell>
          <cell r="L68">
            <v>1</v>
          </cell>
          <cell r="M68">
            <v>1</v>
          </cell>
          <cell r="N68">
            <v>1</v>
          </cell>
          <cell r="O68">
            <v>1</v>
          </cell>
          <cell r="P68">
            <v>1</v>
          </cell>
          <cell r="Q68">
            <v>1</v>
          </cell>
          <cell r="R68">
            <v>1</v>
          </cell>
          <cell r="S68">
            <v>1</v>
          </cell>
          <cell r="T68">
            <v>1</v>
          </cell>
          <cell r="U68">
            <v>1</v>
          </cell>
          <cell r="V68">
            <v>1</v>
          </cell>
          <cell r="W68">
            <v>1</v>
          </cell>
          <cell r="X68">
            <v>1</v>
          </cell>
        </row>
        <row r="69">
          <cell r="A69" t="str">
            <v>OTHERMembers</v>
          </cell>
          <cell r="B69" t="str">
            <v>Members</v>
          </cell>
          <cell r="D69">
            <v>1</v>
          </cell>
          <cell r="E69">
            <v>1</v>
          </cell>
          <cell r="F69">
            <v>1</v>
          </cell>
          <cell r="G69">
            <v>1</v>
          </cell>
          <cell r="H69">
            <v>1</v>
          </cell>
          <cell r="I69">
            <v>1</v>
          </cell>
          <cell r="J69">
            <v>1</v>
          </cell>
          <cell r="K69">
            <v>1</v>
          </cell>
          <cell r="L69">
            <v>1</v>
          </cell>
          <cell r="M69">
            <v>1</v>
          </cell>
          <cell r="N69">
            <v>1</v>
          </cell>
          <cell r="O69">
            <v>1</v>
          </cell>
          <cell r="P69">
            <v>1</v>
          </cell>
          <cell r="Q69">
            <v>1</v>
          </cell>
          <cell r="R69">
            <v>1</v>
          </cell>
          <cell r="S69">
            <v>1</v>
          </cell>
          <cell r="T69">
            <v>1</v>
          </cell>
          <cell r="U69">
            <v>1</v>
          </cell>
          <cell r="V69">
            <v>1</v>
          </cell>
          <cell r="W69">
            <v>1</v>
          </cell>
          <cell r="X69">
            <v>1</v>
          </cell>
        </row>
        <row r="70">
          <cell r="A70" t="str">
            <v>OTHER</v>
          </cell>
        </row>
        <row r="71">
          <cell r="A71" t="str">
            <v>OTHER</v>
          </cell>
        </row>
        <row r="72">
          <cell r="A72" t="str">
            <v>OTHER</v>
          </cell>
        </row>
        <row r="73">
          <cell r="A73" t="str">
            <v>OTHER</v>
          </cell>
        </row>
        <row r="74">
          <cell r="A74" t="str">
            <v>OTHER</v>
          </cell>
        </row>
        <row r="75">
          <cell r="A75" t="str">
            <v>OTHER</v>
          </cell>
        </row>
        <row r="76">
          <cell r="A76" t="str">
            <v xml:space="preserve">OTHERNGAR </v>
          </cell>
          <cell r="B76" t="str">
            <v xml:space="preserve">NGAR </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row>
      </sheetData>
      <sheetData sheetId="6">
        <row r="6">
          <cell r="C6">
            <v>-28912129.251791921</v>
          </cell>
          <cell r="D6">
            <v>-56024131.862947583</v>
          </cell>
          <cell r="E6">
            <v>-80702748.614937752</v>
          </cell>
          <cell r="F6">
            <v>-78296745.035592526</v>
          </cell>
          <cell r="G6">
            <v>-72921943.03576149</v>
          </cell>
          <cell r="H6">
            <v>-67293506.439002439</v>
          </cell>
          <cell r="I6">
            <v>-61392745.75336089</v>
          </cell>
          <cell r="J6">
            <v>-55199856.779421367</v>
          </cell>
          <cell r="K6">
            <v>-48693859.467948511</v>
          </cell>
          <cell r="L6">
            <v>-41852533.558200546</v>
          </cell>
          <cell r="M6">
            <v>-34652350.831082679</v>
          </cell>
          <cell r="N6">
            <v>-27068403.802869946</v>
          </cell>
          <cell r="O6">
            <v>-21236955.676365428</v>
          </cell>
          <cell r="P6">
            <v>-14967486.357048098</v>
          </cell>
          <cell r="Q6">
            <v>-8230484.3319827039</v>
          </cell>
          <cell r="R6">
            <v>-994734.19898835383</v>
          </cell>
          <cell r="S6">
            <v>6772775.3772316538</v>
          </cell>
          <cell r="T6">
            <v>15106948.516635885</v>
          </cell>
          <cell r="U6">
            <v>24044684.029614747</v>
          </cell>
          <cell r="V6">
            <v>33624982.636045106</v>
          </cell>
        </row>
        <row r="7">
          <cell r="C7">
            <v>-34694555.102150306</v>
          </cell>
          <cell r="D7">
            <v>-67228958.235537112</v>
          </cell>
          <cell r="E7">
            <v>-99787277.663214326</v>
          </cell>
          <cell r="F7">
            <v>-102082343.3146604</v>
          </cell>
          <cell r="G7">
            <v>-102126593.27218765</v>
          </cell>
          <cell r="H7">
            <v>-102096036.63526751</v>
          </cell>
          <cell r="I7">
            <v>-101979723.75964791</v>
          </cell>
          <cell r="J7">
            <v>-101765941.23942825</v>
          </cell>
          <cell r="K7">
            <v>-101442167.23059396</v>
          </cell>
          <cell r="L7">
            <v>-100995024.34607622</v>
          </cell>
          <cell r="M7">
            <v>-100410229.99507359</v>
          </cell>
          <cell r="N7">
            <v>-99672544.032834038</v>
          </cell>
          <cell r="O7">
            <v>-100495813.58022514</v>
          </cell>
          <cell r="P7">
            <v>-101132614.8652007</v>
          </cell>
          <cell r="Q7">
            <v>-101564491.9306864</v>
          </cell>
          <cell r="R7">
            <v>-101771792.04543556</v>
          </cell>
          <cell r="S7">
            <v>-101733597.64603105</v>
          </cell>
          <cell r="T7">
            <v>-101427654.62940845</v>
          </cell>
          <cell r="U7">
            <v>-100830296.80602941</v>
          </cell>
          <cell r="V7">
            <v>-99916366.314118356</v>
          </cell>
        </row>
        <row r="8">
          <cell r="C8">
            <v>-31803342.176971115</v>
          </cell>
          <cell r="D8">
            <v>-61626545.049242355</v>
          </cell>
          <cell r="E8">
            <v>-90245013.139076054</v>
          </cell>
          <cell r="F8">
            <v>-90189544.175126478</v>
          </cell>
          <cell r="G8">
            <v>-87524268.153974593</v>
          </cell>
          <cell r="H8">
            <v>-84694771.537135005</v>
          </cell>
          <cell r="I8">
            <v>-81686234.756504431</v>
          </cell>
          <cell r="J8">
            <v>-78482899.009424835</v>
          </cell>
          <cell r="K8">
            <v>-75068013.349271268</v>
          </cell>
          <cell r="L8">
            <v>-71423778.952138409</v>
          </cell>
          <cell r="M8">
            <v>-67531290.413078159</v>
          </cell>
          <cell r="N8">
            <v>-63370473.917852022</v>
          </cell>
          <cell r="O8">
            <v>-60866384.628295317</v>
          </cell>
          <cell r="P8">
            <v>-58050050.611124441</v>
          </cell>
          <cell r="Q8">
            <v>-54897488.131334588</v>
          </cell>
          <cell r="R8">
            <v>-51383263.122211993</v>
          </cell>
          <cell r="S8">
            <v>-47480411.134399742</v>
          </cell>
          <cell r="T8">
            <v>-43160353.056386322</v>
          </cell>
          <cell r="U8">
            <v>-38392806.388207361</v>
          </cell>
          <cell r="V8">
            <v>-33145691.839036655</v>
          </cell>
        </row>
        <row r="9">
          <cell r="C9">
            <v>-27466522.789202321</v>
          </cell>
          <cell r="D9">
            <v>-53222925.269800201</v>
          </cell>
          <cell r="E9">
            <v>-75195621.521546364</v>
          </cell>
          <cell r="F9">
            <v>-70318783.14783822</v>
          </cell>
          <cell r="G9">
            <v>-61965715.069336489</v>
          </cell>
          <cell r="H9">
            <v>-53256916.662820034</v>
          </cell>
          <cell r="I9">
            <v>-44168894.037885427</v>
          </cell>
          <cell r="J9">
            <v>-34676807.388389006</v>
          </cell>
          <cell r="K9">
            <v>-24754398.560023211</v>
          </cell>
          <cell r="L9">
            <v>-14373914.842172734</v>
          </cell>
          <cell r="M9">
            <v>-3506028.7906413656</v>
          </cell>
          <cell r="N9">
            <v>7880246.1219686028</v>
          </cell>
          <cell r="O9">
            <v>17330625.491746157</v>
          </cell>
          <cell r="P9">
            <v>27366703.579175796</v>
          </cell>
          <cell r="Q9">
            <v>38024995.25077001</v>
          </cell>
          <cell r="R9">
            <v>49344058.014285833</v>
          </cell>
          <cell r="S9">
            <v>61364600.657724589</v>
          </cell>
          <cell r="T9">
            <v>74129597.515489846</v>
          </cell>
          <cell r="U9">
            <v>87684408.648917571</v>
          </cell>
          <cell r="V9">
            <v>102076906.2429291</v>
          </cell>
        </row>
      </sheetData>
      <sheetData sheetId="7"/>
      <sheetData sheetId="8"/>
      <sheetData sheetId="9">
        <row r="10">
          <cell r="A10" t="str">
            <v>HARDC-I - Business Technology Implementation Costs</v>
          </cell>
          <cell r="B10" t="str">
            <v>C-I - Business Technology Implementation Costs</v>
          </cell>
          <cell r="C10">
            <v>1</v>
          </cell>
          <cell r="D10">
            <v>1</v>
          </cell>
          <cell r="E10">
            <v>1</v>
          </cell>
          <cell r="F10">
            <v>1</v>
          </cell>
          <cell r="G10">
            <v>1</v>
          </cell>
          <cell r="H10">
            <v>1</v>
          </cell>
          <cell r="I10">
            <v>1</v>
          </cell>
          <cell r="J10">
            <v>1</v>
          </cell>
          <cell r="K10">
            <v>1</v>
          </cell>
          <cell r="L10">
            <v>1</v>
          </cell>
          <cell r="M10">
            <v>1</v>
          </cell>
          <cell r="N10">
            <v>1</v>
          </cell>
          <cell r="O10">
            <v>1</v>
          </cell>
          <cell r="P10">
            <v>1</v>
          </cell>
          <cell r="Q10">
            <v>1</v>
          </cell>
          <cell r="R10">
            <v>1</v>
          </cell>
          <cell r="S10">
            <v>1</v>
          </cell>
          <cell r="T10">
            <v>1</v>
          </cell>
          <cell r="U10">
            <v>1</v>
          </cell>
          <cell r="V10">
            <v>1</v>
          </cell>
          <cell r="W10">
            <v>1</v>
          </cell>
          <cell r="X10">
            <v>1</v>
          </cell>
          <cell r="Y10">
            <v>1.2</v>
          </cell>
          <cell r="Z10">
            <v>1.2</v>
          </cell>
          <cell r="AA10">
            <v>1.2</v>
          </cell>
          <cell r="AB10">
            <v>1.2</v>
          </cell>
          <cell r="AC10">
            <v>1.2</v>
          </cell>
          <cell r="AD10">
            <v>1.2</v>
          </cell>
          <cell r="AE10">
            <v>1.2</v>
          </cell>
          <cell r="AF10">
            <v>1.2</v>
          </cell>
          <cell r="AG10">
            <v>1.2</v>
          </cell>
          <cell r="AH10">
            <v>1.2</v>
          </cell>
          <cell r="AI10">
            <v>1.2</v>
          </cell>
          <cell r="AJ10">
            <v>1.2</v>
          </cell>
          <cell r="AK10">
            <v>1.2</v>
          </cell>
          <cell r="AL10">
            <v>1.2</v>
          </cell>
          <cell r="AM10">
            <v>1.2</v>
          </cell>
          <cell r="AN10">
            <v>1.2</v>
          </cell>
          <cell r="AO10">
            <v>1.2</v>
          </cell>
          <cell r="AP10">
            <v>1.2</v>
          </cell>
          <cell r="AQ10">
            <v>1.2</v>
          </cell>
          <cell r="AR10">
            <v>1.2</v>
          </cell>
          <cell r="AS10">
            <v>1.2</v>
          </cell>
          <cell r="AT10">
            <v>1.2</v>
          </cell>
          <cell r="AU10">
            <v>1.1000000000000001</v>
          </cell>
          <cell r="AV10">
            <v>1.1000000000000001</v>
          </cell>
          <cell r="AW10">
            <v>1.1000000000000001</v>
          </cell>
          <cell r="AX10">
            <v>1.1000000000000001</v>
          </cell>
          <cell r="AY10">
            <v>1.1000000000000001</v>
          </cell>
          <cell r="AZ10">
            <v>1.1000000000000001</v>
          </cell>
          <cell r="BA10">
            <v>1.1000000000000001</v>
          </cell>
          <cell r="BB10">
            <v>1.1000000000000001</v>
          </cell>
          <cell r="BC10">
            <v>1.1000000000000001</v>
          </cell>
          <cell r="BD10">
            <v>1.1000000000000001</v>
          </cell>
          <cell r="BE10">
            <v>1.1000000000000001</v>
          </cell>
          <cell r="BF10">
            <v>1.1000000000000001</v>
          </cell>
          <cell r="BG10">
            <v>1.1000000000000001</v>
          </cell>
          <cell r="BH10">
            <v>1.1000000000000001</v>
          </cell>
          <cell r="BI10">
            <v>1.1000000000000001</v>
          </cell>
          <cell r="BJ10">
            <v>1.1000000000000001</v>
          </cell>
          <cell r="BK10">
            <v>1.1000000000000001</v>
          </cell>
          <cell r="BL10">
            <v>1.1000000000000001</v>
          </cell>
          <cell r="BM10">
            <v>1.1000000000000001</v>
          </cell>
          <cell r="BN10">
            <v>1.1000000000000001</v>
          </cell>
          <cell r="BO10">
            <v>1.1000000000000001</v>
          </cell>
          <cell r="BP10">
            <v>1.1000000000000001</v>
          </cell>
          <cell r="BQ10">
            <v>0.95</v>
          </cell>
          <cell r="BR10">
            <v>0.95</v>
          </cell>
          <cell r="BS10">
            <v>0.95</v>
          </cell>
          <cell r="BT10">
            <v>0.95</v>
          </cell>
          <cell r="BU10">
            <v>0.95</v>
          </cell>
          <cell r="BV10">
            <v>0.95</v>
          </cell>
          <cell r="BW10">
            <v>0.95</v>
          </cell>
          <cell r="BX10">
            <v>0.95</v>
          </cell>
          <cell r="BY10">
            <v>0.95</v>
          </cell>
          <cell r="BZ10">
            <v>0.95</v>
          </cell>
          <cell r="CA10">
            <v>0.95</v>
          </cell>
          <cell r="CB10">
            <v>0.95</v>
          </cell>
          <cell r="CC10">
            <v>0.95</v>
          </cell>
          <cell r="CD10">
            <v>0.95</v>
          </cell>
          <cell r="CE10">
            <v>0.95</v>
          </cell>
          <cell r="CF10">
            <v>0.95</v>
          </cell>
          <cell r="CG10">
            <v>0.95</v>
          </cell>
          <cell r="CH10">
            <v>0.95</v>
          </cell>
          <cell r="CI10">
            <v>0.95</v>
          </cell>
          <cell r="CJ10">
            <v>0.95</v>
          </cell>
          <cell r="CK10">
            <v>0.95</v>
          </cell>
          <cell r="CL10">
            <v>0.95</v>
          </cell>
        </row>
        <row r="11">
          <cell r="A11" t="str">
            <v>HARDC-II - Core Operations Implementation Costs</v>
          </cell>
          <cell r="B11" t="str">
            <v>C-II - Core Operations Implementation Costs</v>
          </cell>
          <cell r="C11">
            <v>1</v>
          </cell>
          <cell r="D11">
            <v>1</v>
          </cell>
          <cell r="E11">
            <v>1</v>
          </cell>
          <cell r="F11">
            <v>1</v>
          </cell>
          <cell r="G11">
            <v>1</v>
          </cell>
          <cell r="H11">
            <v>1</v>
          </cell>
          <cell r="I11">
            <v>1</v>
          </cell>
          <cell r="J11">
            <v>1</v>
          </cell>
          <cell r="K11">
            <v>1</v>
          </cell>
          <cell r="L11">
            <v>1</v>
          </cell>
          <cell r="M11">
            <v>1</v>
          </cell>
          <cell r="N11">
            <v>1</v>
          </cell>
          <cell r="O11">
            <v>1</v>
          </cell>
          <cell r="P11">
            <v>1</v>
          </cell>
          <cell r="Q11">
            <v>1</v>
          </cell>
          <cell r="R11">
            <v>1</v>
          </cell>
          <cell r="S11">
            <v>1</v>
          </cell>
          <cell r="T11">
            <v>1</v>
          </cell>
          <cell r="U11">
            <v>1</v>
          </cell>
          <cell r="V11">
            <v>1</v>
          </cell>
          <cell r="W11">
            <v>1</v>
          </cell>
          <cell r="X11">
            <v>1</v>
          </cell>
          <cell r="Y11">
            <v>1.2</v>
          </cell>
          <cell r="Z11">
            <v>1.2</v>
          </cell>
          <cell r="AA11">
            <v>1.2</v>
          </cell>
          <cell r="AB11">
            <v>1.2</v>
          </cell>
          <cell r="AC11">
            <v>1.2</v>
          </cell>
          <cell r="AD11">
            <v>1.2</v>
          </cell>
          <cell r="AE11">
            <v>1.2</v>
          </cell>
          <cell r="AF11">
            <v>1.2</v>
          </cell>
          <cell r="AG11">
            <v>1.2</v>
          </cell>
          <cell r="AH11">
            <v>1.2</v>
          </cell>
          <cell r="AI11">
            <v>1.2</v>
          </cell>
          <cell r="AJ11">
            <v>1.2</v>
          </cell>
          <cell r="AK11">
            <v>1.2</v>
          </cell>
          <cell r="AL11">
            <v>1.2</v>
          </cell>
          <cell r="AM11">
            <v>1.2</v>
          </cell>
          <cell r="AN11">
            <v>1.2</v>
          </cell>
          <cell r="AO11">
            <v>1.2</v>
          </cell>
          <cell r="AP11">
            <v>1.2</v>
          </cell>
          <cell r="AQ11">
            <v>1.2</v>
          </cell>
          <cell r="AR11">
            <v>1.2</v>
          </cell>
          <cell r="AS11">
            <v>1.2</v>
          </cell>
          <cell r="AT11">
            <v>1.2</v>
          </cell>
          <cell r="AU11">
            <v>1.1000000000000001</v>
          </cell>
          <cell r="AV11">
            <v>1.1000000000000001</v>
          </cell>
          <cell r="AW11">
            <v>1.1000000000000001</v>
          </cell>
          <cell r="AX11">
            <v>1.1000000000000001</v>
          </cell>
          <cell r="AY11">
            <v>1.1000000000000001</v>
          </cell>
          <cell r="AZ11">
            <v>1.1000000000000001</v>
          </cell>
          <cell r="BA11">
            <v>1.1000000000000001</v>
          </cell>
          <cell r="BB11">
            <v>1.1000000000000001</v>
          </cell>
          <cell r="BC11">
            <v>1.1000000000000001</v>
          </cell>
          <cell r="BD11">
            <v>1.1000000000000001</v>
          </cell>
          <cell r="BE11">
            <v>1.1000000000000001</v>
          </cell>
          <cell r="BF11">
            <v>1.1000000000000001</v>
          </cell>
          <cell r="BG11">
            <v>1.1000000000000001</v>
          </cell>
          <cell r="BH11">
            <v>1.1000000000000001</v>
          </cell>
          <cell r="BI11">
            <v>1.1000000000000001</v>
          </cell>
          <cell r="BJ11">
            <v>1.1000000000000001</v>
          </cell>
          <cell r="BK11">
            <v>1.1000000000000001</v>
          </cell>
          <cell r="BL11">
            <v>1.1000000000000001</v>
          </cell>
          <cell r="BM11">
            <v>1.1000000000000001</v>
          </cell>
          <cell r="BN11">
            <v>1.1000000000000001</v>
          </cell>
          <cell r="BO11">
            <v>1.1000000000000001</v>
          </cell>
          <cell r="BP11">
            <v>1.1000000000000001</v>
          </cell>
          <cell r="BQ11">
            <v>0.95</v>
          </cell>
          <cell r="BR11">
            <v>0.95</v>
          </cell>
          <cell r="BS11">
            <v>0.95</v>
          </cell>
          <cell r="BT11">
            <v>0.95</v>
          </cell>
          <cell r="BU11">
            <v>0.95</v>
          </cell>
          <cell r="BV11">
            <v>0.95</v>
          </cell>
          <cell r="BW11">
            <v>0.95</v>
          </cell>
          <cell r="BX11">
            <v>0.95</v>
          </cell>
          <cell r="BY11">
            <v>0.95</v>
          </cell>
          <cell r="BZ11">
            <v>0.95</v>
          </cell>
          <cell r="CA11">
            <v>0.95</v>
          </cell>
          <cell r="CB11">
            <v>0.95</v>
          </cell>
          <cell r="CC11">
            <v>0.95</v>
          </cell>
          <cell r="CD11">
            <v>0.95</v>
          </cell>
          <cell r="CE11">
            <v>0.95</v>
          </cell>
          <cell r="CF11">
            <v>0.95</v>
          </cell>
          <cell r="CG11">
            <v>0.95</v>
          </cell>
          <cell r="CH11">
            <v>0.95</v>
          </cell>
          <cell r="CI11">
            <v>0.95</v>
          </cell>
          <cell r="CJ11">
            <v>0.95</v>
          </cell>
          <cell r="CK11">
            <v>0.95</v>
          </cell>
          <cell r="CL11">
            <v>0.95</v>
          </cell>
        </row>
        <row r="12">
          <cell r="A12" t="str">
            <v>HARDC-III - Actuary Implementation Costs</v>
          </cell>
          <cell r="B12" t="str">
            <v>C-III - Actuary Implementation Costs</v>
          </cell>
          <cell r="C12">
            <v>1</v>
          </cell>
          <cell r="D12">
            <v>1</v>
          </cell>
          <cell r="E12">
            <v>1</v>
          </cell>
          <cell r="F12">
            <v>1</v>
          </cell>
          <cell r="G12">
            <v>1</v>
          </cell>
          <cell r="H12">
            <v>1</v>
          </cell>
          <cell r="I12">
            <v>1</v>
          </cell>
          <cell r="J12">
            <v>1</v>
          </cell>
          <cell r="K12">
            <v>1</v>
          </cell>
          <cell r="L12">
            <v>1</v>
          </cell>
          <cell r="M12">
            <v>1</v>
          </cell>
          <cell r="N12">
            <v>1</v>
          </cell>
          <cell r="O12">
            <v>1</v>
          </cell>
          <cell r="P12">
            <v>1</v>
          </cell>
          <cell r="Q12">
            <v>1</v>
          </cell>
          <cell r="R12">
            <v>1</v>
          </cell>
          <cell r="S12">
            <v>1</v>
          </cell>
          <cell r="T12">
            <v>1</v>
          </cell>
          <cell r="U12">
            <v>1</v>
          </cell>
          <cell r="V12">
            <v>1</v>
          </cell>
          <cell r="W12">
            <v>1</v>
          </cell>
          <cell r="X12">
            <v>1</v>
          </cell>
          <cell r="Y12">
            <v>1.2</v>
          </cell>
          <cell r="Z12">
            <v>1.2</v>
          </cell>
          <cell r="AA12">
            <v>1.2</v>
          </cell>
          <cell r="AB12">
            <v>1.2</v>
          </cell>
          <cell r="AC12">
            <v>1.2</v>
          </cell>
          <cell r="AD12">
            <v>1.2</v>
          </cell>
          <cell r="AE12">
            <v>1.2</v>
          </cell>
          <cell r="AF12">
            <v>1.2</v>
          </cell>
          <cell r="AG12">
            <v>1.2</v>
          </cell>
          <cell r="AH12">
            <v>1.2</v>
          </cell>
          <cell r="AI12">
            <v>1.2</v>
          </cell>
          <cell r="AJ12">
            <v>1.2</v>
          </cell>
          <cell r="AK12">
            <v>1.2</v>
          </cell>
          <cell r="AL12">
            <v>1.2</v>
          </cell>
          <cell r="AM12">
            <v>1.2</v>
          </cell>
          <cell r="AN12">
            <v>1.2</v>
          </cell>
          <cell r="AO12">
            <v>1.2</v>
          </cell>
          <cell r="AP12">
            <v>1.2</v>
          </cell>
          <cell r="AQ12">
            <v>1.2</v>
          </cell>
          <cell r="AR12">
            <v>1.2</v>
          </cell>
          <cell r="AS12">
            <v>1.2</v>
          </cell>
          <cell r="AT12">
            <v>1.2</v>
          </cell>
          <cell r="AU12">
            <v>1.1000000000000001</v>
          </cell>
          <cell r="AV12">
            <v>1.1000000000000001</v>
          </cell>
          <cell r="AW12">
            <v>1.1000000000000001</v>
          </cell>
          <cell r="AX12">
            <v>1.1000000000000001</v>
          </cell>
          <cell r="AY12">
            <v>1.1000000000000001</v>
          </cell>
          <cell r="AZ12">
            <v>1.1000000000000001</v>
          </cell>
          <cell r="BA12">
            <v>1.1000000000000001</v>
          </cell>
          <cell r="BB12">
            <v>1.1000000000000001</v>
          </cell>
          <cell r="BC12">
            <v>1.1000000000000001</v>
          </cell>
          <cell r="BD12">
            <v>1.1000000000000001</v>
          </cell>
          <cell r="BE12">
            <v>1.1000000000000001</v>
          </cell>
          <cell r="BF12">
            <v>1.1000000000000001</v>
          </cell>
          <cell r="BG12">
            <v>1.1000000000000001</v>
          </cell>
          <cell r="BH12">
            <v>1.1000000000000001</v>
          </cell>
          <cell r="BI12">
            <v>1.1000000000000001</v>
          </cell>
          <cell r="BJ12">
            <v>1.1000000000000001</v>
          </cell>
          <cell r="BK12">
            <v>1.1000000000000001</v>
          </cell>
          <cell r="BL12">
            <v>1.1000000000000001</v>
          </cell>
          <cell r="BM12">
            <v>1.1000000000000001</v>
          </cell>
          <cell r="BN12">
            <v>1.1000000000000001</v>
          </cell>
          <cell r="BO12">
            <v>1.1000000000000001</v>
          </cell>
          <cell r="BP12">
            <v>1.1000000000000001</v>
          </cell>
          <cell r="BQ12">
            <v>0.95</v>
          </cell>
          <cell r="BR12">
            <v>0.95</v>
          </cell>
          <cell r="BS12">
            <v>0.95</v>
          </cell>
          <cell r="BT12">
            <v>0.95</v>
          </cell>
          <cell r="BU12">
            <v>0.95</v>
          </cell>
          <cell r="BV12">
            <v>0.95</v>
          </cell>
          <cell r="BW12">
            <v>0.95</v>
          </cell>
          <cell r="BX12">
            <v>0.95</v>
          </cell>
          <cell r="BY12">
            <v>0.95</v>
          </cell>
          <cell r="BZ12">
            <v>0.95</v>
          </cell>
          <cell r="CA12">
            <v>0.95</v>
          </cell>
          <cell r="CB12">
            <v>0.95</v>
          </cell>
          <cell r="CC12">
            <v>0.95</v>
          </cell>
          <cell r="CD12">
            <v>0.95</v>
          </cell>
          <cell r="CE12">
            <v>0.95</v>
          </cell>
          <cell r="CF12">
            <v>0.95</v>
          </cell>
          <cell r="CG12">
            <v>0.95</v>
          </cell>
          <cell r="CH12">
            <v>0.95</v>
          </cell>
          <cell r="CI12">
            <v>0.95</v>
          </cell>
          <cell r="CJ12">
            <v>0.95</v>
          </cell>
          <cell r="CK12">
            <v>0.95</v>
          </cell>
          <cell r="CL12">
            <v>0.95</v>
          </cell>
        </row>
        <row r="13">
          <cell r="A13" t="str">
            <v>HARDC-IV - Other Recurring Costs</v>
          </cell>
          <cell r="B13" t="str">
            <v>C-IV - Other Recurring Costs</v>
          </cell>
          <cell r="C13">
            <v>1</v>
          </cell>
          <cell r="D13">
            <v>1</v>
          </cell>
          <cell r="E13">
            <v>1</v>
          </cell>
          <cell r="F13">
            <v>1</v>
          </cell>
          <cell r="G13">
            <v>1</v>
          </cell>
          <cell r="H13">
            <v>1</v>
          </cell>
          <cell r="I13">
            <v>1</v>
          </cell>
          <cell r="J13">
            <v>1</v>
          </cell>
          <cell r="K13">
            <v>1</v>
          </cell>
          <cell r="L13">
            <v>1</v>
          </cell>
          <cell r="M13">
            <v>1</v>
          </cell>
          <cell r="N13">
            <v>1</v>
          </cell>
          <cell r="O13">
            <v>1</v>
          </cell>
          <cell r="P13">
            <v>1</v>
          </cell>
          <cell r="Q13">
            <v>1</v>
          </cell>
          <cell r="R13">
            <v>1</v>
          </cell>
          <cell r="S13">
            <v>1</v>
          </cell>
          <cell r="T13">
            <v>1</v>
          </cell>
          <cell r="U13">
            <v>1</v>
          </cell>
          <cell r="V13">
            <v>1</v>
          </cell>
          <cell r="W13">
            <v>1</v>
          </cell>
          <cell r="X13">
            <v>1</v>
          </cell>
          <cell r="Y13">
            <v>1.2</v>
          </cell>
          <cell r="Z13">
            <v>1.2</v>
          </cell>
          <cell r="AA13">
            <v>1.2</v>
          </cell>
          <cell r="AB13">
            <v>1.2</v>
          </cell>
          <cell r="AC13">
            <v>1.2</v>
          </cell>
          <cell r="AD13">
            <v>1.2</v>
          </cell>
          <cell r="AE13">
            <v>1.2</v>
          </cell>
          <cell r="AF13">
            <v>1.2</v>
          </cell>
          <cell r="AG13">
            <v>1.2</v>
          </cell>
          <cell r="AH13">
            <v>1.2</v>
          </cell>
          <cell r="AI13">
            <v>1.2</v>
          </cell>
          <cell r="AJ13">
            <v>1.2</v>
          </cell>
          <cell r="AK13">
            <v>1.2</v>
          </cell>
          <cell r="AL13">
            <v>1.2</v>
          </cell>
          <cell r="AM13">
            <v>1.2</v>
          </cell>
          <cell r="AN13">
            <v>1.2</v>
          </cell>
          <cell r="AO13">
            <v>1.2</v>
          </cell>
          <cell r="AP13">
            <v>1.2</v>
          </cell>
          <cell r="AQ13">
            <v>1.2</v>
          </cell>
          <cell r="AR13">
            <v>1.2</v>
          </cell>
          <cell r="AS13">
            <v>1.2</v>
          </cell>
          <cell r="AT13">
            <v>1.2</v>
          </cell>
          <cell r="AU13">
            <v>1.1000000000000001</v>
          </cell>
          <cell r="AV13">
            <v>1.1000000000000001</v>
          </cell>
          <cell r="AW13">
            <v>1.1000000000000001</v>
          </cell>
          <cell r="AX13">
            <v>1.1000000000000001</v>
          </cell>
          <cell r="AY13">
            <v>1.1000000000000001</v>
          </cell>
          <cell r="AZ13">
            <v>1.1000000000000001</v>
          </cell>
          <cell r="BA13">
            <v>1.1000000000000001</v>
          </cell>
          <cell r="BB13">
            <v>1.1000000000000001</v>
          </cell>
          <cell r="BC13">
            <v>1.1000000000000001</v>
          </cell>
          <cell r="BD13">
            <v>1.1000000000000001</v>
          </cell>
          <cell r="BE13">
            <v>1.1000000000000001</v>
          </cell>
          <cell r="BF13">
            <v>1.1000000000000001</v>
          </cell>
          <cell r="BG13">
            <v>1.1000000000000001</v>
          </cell>
          <cell r="BH13">
            <v>1.1000000000000001</v>
          </cell>
          <cell r="BI13">
            <v>1.1000000000000001</v>
          </cell>
          <cell r="BJ13">
            <v>1.1000000000000001</v>
          </cell>
          <cell r="BK13">
            <v>1.1000000000000001</v>
          </cell>
          <cell r="BL13">
            <v>1.1000000000000001</v>
          </cell>
          <cell r="BM13">
            <v>1.1000000000000001</v>
          </cell>
          <cell r="BN13">
            <v>1.1000000000000001</v>
          </cell>
          <cell r="BO13">
            <v>1.1000000000000001</v>
          </cell>
          <cell r="BP13">
            <v>1.1000000000000001</v>
          </cell>
          <cell r="BQ13">
            <v>0.95</v>
          </cell>
          <cell r="BR13">
            <v>0.95</v>
          </cell>
          <cell r="BS13">
            <v>0.95</v>
          </cell>
          <cell r="BT13">
            <v>0.95</v>
          </cell>
          <cell r="BU13">
            <v>0.95</v>
          </cell>
          <cell r="BV13">
            <v>0.95</v>
          </cell>
          <cell r="BW13">
            <v>0.95</v>
          </cell>
          <cell r="BX13">
            <v>0.95</v>
          </cell>
          <cell r="BY13">
            <v>0.95</v>
          </cell>
          <cell r="BZ13">
            <v>0.95</v>
          </cell>
          <cell r="CA13">
            <v>0.95</v>
          </cell>
          <cell r="CB13">
            <v>0.95</v>
          </cell>
          <cell r="CC13">
            <v>0.95</v>
          </cell>
          <cell r="CD13">
            <v>0.95</v>
          </cell>
          <cell r="CE13">
            <v>0.95</v>
          </cell>
          <cell r="CF13">
            <v>0.95</v>
          </cell>
          <cell r="CG13">
            <v>0.95</v>
          </cell>
          <cell r="CH13">
            <v>0.95</v>
          </cell>
          <cell r="CI13">
            <v>0.95</v>
          </cell>
          <cell r="CJ13">
            <v>0.95</v>
          </cell>
          <cell r="CK13">
            <v>0.95</v>
          </cell>
          <cell r="CL13">
            <v>0.95</v>
          </cell>
        </row>
        <row r="14">
          <cell r="A14" t="str">
            <v>HARDC-V - All Else Implementation Costs</v>
          </cell>
          <cell r="B14" t="str">
            <v>C-V - All Else Implementation Costs</v>
          </cell>
          <cell r="C14">
            <v>1</v>
          </cell>
          <cell r="D14">
            <v>1</v>
          </cell>
          <cell r="E14">
            <v>1</v>
          </cell>
          <cell r="F14">
            <v>1</v>
          </cell>
          <cell r="G14">
            <v>1</v>
          </cell>
          <cell r="H14">
            <v>1</v>
          </cell>
          <cell r="I14">
            <v>1</v>
          </cell>
          <cell r="J14">
            <v>1</v>
          </cell>
          <cell r="K14">
            <v>1</v>
          </cell>
          <cell r="L14">
            <v>1</v>
          </cell>
          <cell r="M14">
            <v>1</v>
          </cell>
          <cell r="N14">
            <v>1</v>
          </cell>
          <cell r="O14">
            <v>1</v>
          </cell>
          <cell r="P14">
            <v>1</v>
          </cell>
          <cell r="Q14">
            <v>1</v>
          </cell>
          <cell r="R14">
            <v>1</v>
          </cell>
          <cell r="S14">
            <v>1</v>
          </cell>
          <cell r="T14">
            <v>1</v>
          </cell>
          <cell r="U14">
            <v>1</v>
          </cell>
          <cell r="V14">
            <v>1</v>
          </cell>
          <cell r="W14">
            <v>1</v>
          </cell>
          <cell r="X14">
            <v>1</v>
          </cell>
          <cell r="Y14">
            <v>1.2</v>
          </cell>
          <cell r="Z14">
            <v>1.2</v>
          </cell>
          <cell r="AA14">
            <v>1.2</v>
          </cell>
          <cell r="AB14">
            <v>1.2</v>
          </cell>
          <cell r="AC14">
            <v>1.2</v>
          </cell>
          <cell r="AD14">
            <v>1.2</v>
          </cell>
          <cell r="AE14">
            <v>1.2</v>
          </cell>
          <cell r="AF14">
            <v>1.2</v>
          </cell>
          <cell r="AG14">
            <v>1.2</v>
          </cell>
          <cell r="AH14">
            <v>1.2</v>
          </cell>
          <cell r="AI14">
            <v>1.2</v>
          </cell>
          <cell r="AJ14">
            <v>1.2</v>
          </cell>
          <cell r="AK14">
            <v>1.2</v>
          </cell>
          <cell r="AL14">
            <v>1.2</v>
          </cell>
          <cell r="AM14">
            <v>1.2</v>
          </cell>
          <cell r="AN14">
            <v>1.2</v>
          </cell>
          <cell r="AO14">
            <v>1.2</v>
          </cell>
          <cell r="AP14">
            <v>1.2</v>
          </cell>
          <cell r="AQ14">
            <v>1.2</v>
          </cell>
          <cell r="AR14">
            <v>1.2</v>
          </cell>
          <cell r="AS14">
            <v>1.2</v>
          </cell>
          <cell r="AT14">
            <v>1.2</v>
          </cell>
          <cell r="AU14">
            <v>1.1000000000000001</v>
          </cell>
          <cell r="AV14">
            <v>1.1000000000000001</v>
          </cell>
          <cell r="AW14">
            <v>1.1000000000000001</v>
          </cell>
          <cell r="AX14">
            <v>1.1000000000000001</v>
          </cell>
          <cell r="AY14">
            <v>1.1000000000000001</v>
          </cell>
          <cell r="AZ14">
            <v>1.1000000000000001</v>
          </cell>
          <cell r="BA14">
            <v>1.1000000000000001</v>
          </cell>
          <cell r="BB14">
            <v>1.1000000000000001</v>
          </cell>
          <cell r="BC14">
            <v>1.1000000000000001</v>
          </cell>
          <cell r="BD14">
            <v>1.1000000000000001</v>
          </cell>
          <cell r="BE14">
            <v>1.1000000000000001</v>
          </cell>
          <cell r="BF14">
            <v>1.1000000000000001</v>
          </cell>
          <cell r="BG14">
            <v>1.1000000000000001</v>
          </cell>
          <cell r="BH14">
            <v>1.1000000000000001</v>
          </cell>
          <cell r="BI14">
            <v>1.1000000000000001</v>
          </cell>
          <cell r="BJ14">
            <v>1.1000000000000001</v>
          </cell>
          <cell r="BK14">
            <v>1.1000000000000001</v>
          </cell>
          <cell r="BL14">
            <v>1.1000000000000001</v>
          </cell>
          <cell r="BM14">
            <v>1.1000000000000001</v>
          </cell>
          <cell r="BN14">
            <v>1.1000000000000001</v>
          </cell>
          <cell r="BO14">
            <v>1.1000000000000001</v>
          </cell>
          <cell r="BP14">
            <v>1.1000000000000001</v>
          </cell>
          <cell r="BQ14">
            <v>0.95</v>
          </cell>
          <cell r="BR14">
            <v>0.95</v>
          </cell>
          <cell r="BS14">
            <v>0.95</v>
          </cell>
          <cell r="BT14">
            <v>0.95</v>
          </cell>
          <cell r="BU14">
            <v>0.95</v>
          </cell>
          <cell r="BV14">
            <v>0.95</v>
          </cell>
          <cell r="BW14">
            <v>0.95</v>
          </cell>
          <cell r="BX14">
            <v>0.95</v>
          </cell>
          <cell r="BY14">
            <v>0.95</v>
          </cell>
          <cell r="BZ14">
            <v>0.95</v>
          </cell>
          <cell r="CA14">
            <v>0.95</v>
          </cell>
          <cell r="CB14">
            <v>0.95</v>
          </cell>
          <cell r="CC14">
            <v>0.95</v>
          </cell>
          <cell r="CD14">
            <v>0.95</v>
          </cell>
          <cell r="CE14">
            <v>0.95</v>
          </cell>
          <cell r="CF14">
            <v>0.95</v>
          </cell>
          <cell r="CG14">
            <v>0.95</v>
          </cell>
          <cell r="CH14">
            <v>0.95</v>
          </cell>
          <cell r="CI14">
            <v>0.95</v>
          </cell>
          <cell r="CJ14">
            <v>0.95</v>
          </cell>
          <cell r="CK14">
            <v>0.95</v>
          </cell>
          <cell r="CL14">
            <v>0.95</v>
          </cell>
        </row>
        <row r="15">
          <cell r="A15" t="str">
            <v>HARDV-Rec - Recurring Vendor Fees</v>
          </cell>
          <cell r="B15" t="str">
            <v>V-Rec - Recurring Vendor Fees</v>
          </cell>
          <cell r="C15">
            <v>1</v>
          </cell>
          <cell r="D15">
            <v>1</v>
          </cell>
          <cell r="E15">
            <v>1</v>
          </cell>
          <cell r="F15">
            <v>1</v>
          </cell>
          <cell r="G15">
            <v>1</v>
          </cell>
          <cell r="H15">
            <v>1</v>
          </cell>
          <cell r="I15">
            <v>1</v>
          </cell>
          <cell r="J15">
            <v>1</v>
          </cell>
          <cell r="K15">
            <v>1</v>
          </cell>
          <cell r="L15">
            <v>1</v>
          </cell>
          <cell r="M15">
            <v>1</v>
          </cell>
          <cell r="N15">
            <v>1</v>
          </cell>
          <cell r="O15">
            <v>1</v>
          </cell>
          <cell r="P15">
            <v>1</v>
          </cell>
          <cell r="Q15">
            <v>1</v>
          </cell>
          <cell r="R15">
            <v>1</v>
          </cell>
          <cell r="S15">
            <v>1</v>
          </cell>
          <cell r="T15">
            <v>1</v>
          </cell>
          <cell r="U15">
            <v>1</v>
          </cell>
          <cell r="V15">
            <v>1</v>
          </cell>
          <cell r="W15">
            <v>1</v>
          </cell>
          <cell r="X15">
            <v>1</v>
          </cell>
          <cell r="Y15">
            <v>1.2</v>
          </cell>
          <cell r="Z15">
            <v>1.2</v>
          </cell>
          <cell r="AA15">
            <v>1.2</v>
          </cell>
          <cell r="AB15">
            <v>1.2</v>
          </cell>
          <cell r="AC15">
            <v>1.2</v>
          </cell>
          <cell r="AD15">
            <v>1.2</v>
          </cell>
          <cell r="AE15">
            <v>1.2</v>
          </cell>
          <cell r="AF15">
            <v>1.2</v>
          </cell>
          <cell r="AG15">
            <v>1.2</v>
          </cell>
          <cell r="AH15">
            <v>1.2</v>
          </cell>
          <cell r="AI15">
            <v>1.2</v>
          </cell>
          <cell r="AJ15">
            <v>1.2</v>
          </cell>
          <cell r="AK15">
            <v>1.2</v>
          </cell>
          <cell r="AL15">
            <v>1.2</v>
          </cell>
          <cell r="AM15">
            <v>1.2</v>
          </cell>
          <cell r="AN15">
            <v>1.2</v>
          </cell>
          <cell r="AO15">
            <v>1.2</v>
          </cell>
          <cell r="AP15">
            <v>1.2</v>
          </cell>
          <cell r="AQ15">
            <v>1.2</v>
          </cell>
          <cell r="AR15">
            <v>1.2</v>
          </cell>
          <cell r="AS15">
            <v>1.2</v>
          </cell>
          <cell r="AT15">
            <v>1.2</v>
          </cell>
          <cell r="AU15">
            <v>1.1000000000000001</v>
          </cell>
          <cell r="AV15">
            <v>1.1000000000000001</v>
          </cell>
          <cell r="AW15">
            <v>1.1000000000000001</v>
          </cell>
          <cell r="AX15">
            <v>1.1000000000000001</v>
          </cell>
          <cell r="AY15">
            <v>1.1000000000000001</v>
          </cell>
          <cell r="AZ15">
            <v>1.1000000000000001</v>
          </cell>
          <cell r="BA15">
            <v>1.1000000000000001</v>
          </cell>
          <cell r="BB15">
            <v>1.1000000000000001</v>
          </cell>
          <cell r="BC15">
            <v>1.1000000000000001</v>
          </cell>
          <cell r="BD15">
            <v>1.1000000000000001</v>
          </cell>
          <cell r="BE15">
            <v>1.1000000000000001</v>
          </cell>
          <cell r="BF15">
            <v>1.1000000000000001</v>
          </cell>
          <cell r="BG15">
            <v>1.1000000000000001</v>
          </cell>
          <cell r="BH15">
            <v>1.1000000000000001</v>
          </cell>
          <cell r="BI15">
            <v>1.1000000000000001</v>
          </cell>
          <cell r="BJ15">
            <v>1.1000000000000001</v>
          </cell>
          <cell r="BK15">
            <v>1.1000000000000001</v>
          </cell>
          <cell r="BL15">
            <v>1.1000000000000001</v>
          </cell>
          <cell r="BM15">
            <v>1.1000000000000001</v>
          </cell>
          <cell r="BN15">
            <v>1.1000000000000001</v>
          </cell>
          <cell r="BO15">
            <v>1.1000000000000001</v>
          </cell>
          <cell r="BP15">
            <v>1.1000000000000001</v>
          </cell>
          <cell r="BQ15">
            <v>0.95</v>
          </cell>
          <cell r="BR15">
            <v>0.95</v>
          </cell>
          <cell r="BS15">
            <v>0.95</v>
          </cell>
          <cell r="BT15">
            <v>0.95</v>
          </cell>
          <cell r="BU15">
            <v>0.95</v>
          </cell>
          <cell r="BV15">
            <v>0.95</v>
          </cell>
          <cell r="BW15">
            <v>0.95</v>
          </cell>
          <cell r="BX15">
            <v>0.95</v>
          </cell>
          <cell r="BY15">
            <v>0.95</v>
          </cell>
          <cell r="BZ15">
            <v>0.95</v>
          </cell>
          <cell r="CA15">
            <v>0.95</v>
          </cell>
          <cell r="CB15">
            <v>0.95</v>
          </cell>
          <cell r="CC15">
            <v>0.95</v>
          </cell>
          <cell r="CD15">
            <v>0.95</v>
          </cell>
          <cell r="CE15">
            <v>0.95</v>
          </cell>
          <cell r="CF15">
            <v>0.95</v>
          </cell>
          <cell r="CG15">
            <v>0.95</v>
          </cell>
          <cell r="CH15">
            <v>0.95</v>
          </cell>
          <cell r="CI15">
            <v>0.95</v>
          </cell>
          <cell r="CJ15">
            <v>0.95</v>
          </cell>
          <cell r="CK15">
            <v>0.95</v>
          </cell>
          <cell r="CL15">
            <v>0.95</v>
          </cell>
        </row>
        <row r="16">
          <cell r="A16" t="str">
            <v>HARDV-Imp - Vendor Implementation Fees</v>
          </cell>
          <cell r="B16" t="str">
            <v>V-Imp - Vendor Implementation Fees</v>
          </cell>
          <cell r="C16">
            <v>1</v>
          </cell>
          <cell r="D16">
            <v>1</v>
          </cell>
          <cell r="E16">
            <v>1</v>
          </cell>
          <cell r="F16">
            <v>1</v>
          </cell>
          <cell r="G16">
            <v>1</v>
          </cell>
          <cell r="H16">
            <v>1</v>
          </cell>
          <cell r="I16">
            <v>1</v>
          </cell>
          <cell r="J16">
            <v>1</v>
          </cell>
          <cell r="K16">
            <v>1</v>
          </cell>
          <cell r="L16">
            <v>1</v>
          </cell>
          <cell r="M16">
            <v>1</v>
          </cell>
          <cell r="N16">
            <v>1</v>
          </cell>
          <cell r="O16">
            <v>1</v>
          </cell>
          <cell r="P16">
            <v>1</v>
          </cell>
          <cell r="Q16">
            <v>1</v>
          </cell>
          <cell r="R16">
            <v>1</v>
          </cell>
          <cell r="S16">
            <v>1</v>
          </cell>
          <cell r="T16">
            <v>1</v>
          </cell>
          <cell r="U16">
            <v>1</v>
          </cell>
          <cell r="V16">
            <v>1</v>
          </cell>
          <cell r="W16">
            <v>1</v>
          </cell>
          <cell r="X16">
            <v>1</v>
          </cell>
          <cell r="Y16">
            <v>1.2</v>
          </cell>
          <cell r="Z16">
            <v>1.2</v>
          </cell>
          <cell r="AA16">
            <v>1.2</v>
          </cell>
          <cell r="AB16">
            <v>1.2</v>
          </cell>
          <cell r="AC16">
            <v>1.2</v>
          </cell>
          <cell r="AD16">
            <v>1.2</v>
          </cell>
          <cell r="AE16">
            <v>1.2</v>
          </cell>
          <cell r="AF16">
            <v>1.2</v>
          </cell>
          <cell r="AG16">
            <v>1.2</v>
          </cell>
          <cell r="AH16">
            <v>1.2</v>
          </cell>
          <cell r="AI16">
            <v>1.2</v>
          </cell>
          <cell r="AJ16">
            <v>1.2</v>
          </cell>
          <cell r="AK16">
            <v>1.2</v>
          </cell>
          <cell r="AL16">
            <v>1.2</v>
          </cell>
          <cell r="AM16">
            <v>1.2</v>
          </cell>
          <cell r="AN16">
            <v>1.2</v>
          </cell>
          <cell r="AO16">
            <v>1.2</v>
          </cell>
          <cell r="AP16">
            <v>1.2</v>
          </cell>
          <cell r="AQ16">
            <v>1.2</v>
          </cell>
          <cell r="AR16">
            <v>1.2</v>
          </cell>
          <cell r="AS16">
            <v>1.2</v>
          </cell>
          <cell r="AT16">
            <v>1.2</v>
          </cell>
          <cell r="AU16">
            <v>1.1000000000000001</v>
          </cell>
          <cell r="AV16">
            <v>1.1000000000000001</v>
          </cell>
          <cell r="AW16">
            <v>1.1000000000000001</v>
          </cell>
          <cell r="AX16">
            <v>1.1000000000000001</v>
          </cell>
          <cell r="AY16">
            <v>1.1000000000000001</v>
          </cell>
          <cell r="AZ16">
            <v>1.1000000000000001</v>
          </cell>
          <cell r="BA16">
            <v>1.1000000000000001</v>
          </cell>
          <cell r="BB16">
            <v>1.1000000000000001</v>
          </cell>
          <cell r="BC16">
            <v>1.1000000000000001</v>
          </cell>
          <cell r="BD16">
            <v>1.1000000000000001</v>
          </cell>
          <cell r="BE16">
            <v>1.1000000000000001</v>
          </cell>
          <cell r="BF16">
            <v>1.1000000000000001</v>
          </cell>
          <cell r="BG16">
            <v>1.1000000000000001</v>
          </cell>
          <cell r="BH16">
            <v>1.1000000000000001</v>
          </cell>
          <cell r="BI16">
            <v>1.1000000000000001</v>
          </cell>
          <cell r="BJ16">
            <v>1.1000000000000001</v>
          </cell>
          <cell r="BK16">
            <v>1.1000000000000001</v>
          </cell>
          <cell r="BL16">
            <v>1.1000000000000001</v>
          </cell>
          <cell r="BM16">
            <v>1.1000000000000001</v>
          </cell>
          <cell r="BN16">
            <v>1.1000000000000001</v>
          </cell>
          <cell r="BO16">
            <v>1.1000000000000001</v>
          </cell>
          <cell r="BP16">
            <v>1.1000000000000001</v>
          </cell>
          <cell r="BQ16">
            <v>0.95</v>
          </cell>
          <cell r="BR16">
            <v>0.95</v>
          </cell>
          <cell r="BS16">
            <v>0.95</v>
          </cell>
          <cell r="BT16">
            <v>0.95</v>
          </cell>
          <cell r="BU16">
            <v>0.95</v>
          </cell>
          <cell r="BV16">
            <v>0.95</v>
          </cell>
          <cell r="BW16">
            <v>0.95</v>
          </cell>
          <cell r="BX16">
            <v>0.95</v>
          </cell>
          <cell r="BY16">
            <v>0.95</v>
          </cell>
          <cell r="BZ16">
            <v>0.95</v>
          </cell>
          <cell r="CA16">
            <v>0.95</v>
          </cell>
          <cell r="CB16">
            <v>0.95</v>
          </cell>
          <cell r="CC16">
            <v>0.95</v>
          </cell>
          <cell r="CD16">
            <v>0.95</v>
          </cell>
          <cell r="CE16">
            <v>0.95</v>
          </cell>
          <cell r="CF16">
            <v>0.95</v>
          </cell>
          <cell r="CG16">
            <v>0.95</v>
          </cell>
          <cell r="CH16">
            <v>0.95</v>
          </cell>
          <cell r="CI16">
            <v>0.95</v>
          </cell>
          <cell r="CJ16">
            <v>0.95</v>
          </cell>
          <cell r="CK16">
            <v>0.95</v>
          </cell>
          <cell r="CL16">
            <v>0.95</v>
          </cell>
        </row>
        <row r="17">
          <cell r="A17" t="str">
            <v>HARDV-Gap.Rec - Gap Closure Recurring Fees</v>
          </cell>
          <cell r="B17" t="str">
            <v>V-Gap.Rec - Gap Closure Recurring Fees</v>
          </cell>
          <cell r="C17">
            <v>1</v>
          </cell>
          <cell r="D17">
            <v>1</v>
          </cell>
          <cell r="E17">
            <v>1</v>
          </cell>
          <cell r="F17">
            <v>1</v>
          </cell>
          <cell r="G17">
            <v>1</v>
          </cell>
          <cell r="H17">
            <v>1</v>
          </cell>
          <cell r="I17">
            <v>1</v>
          </cell>
          <cell r="J17">
            <v>1</v>
          </cell>
          <cell r="K17">
            <v>1</v>
          </cell>
          <cell r="L17">
            <v>1</v>
          </cell>
          <cell r="M17">
            <v>1</v>
          </cell>
          <cell r="N17">
            <v>1</v>
          </cell>
          <cell r="O17">
            <v>1</v>
          </cell>
          <cell r="P17">
            <v>1</v>
          </cell>
          <cell r="Q17">
            <v>1</v>
          </cell>
          <cell r="R17">
            <v>1</v>
          </cell>
          <cell r="S17">
            <v>1</v>
          </cell>
          <cell r="T17">
            <v>1</v>
          </cell>
          <cell r="U17">
            <v>1</v>
          </cell>
          <cell r="V17">
            <v>1</v>
          </cell>
          <cell r="W17">
            <v>1</v>
          </cell>
          <cell r="X17">
            <v>1</v>
          </cell>
          <cell r="Y17">
            <v>1.2</v>
          </cell>
          <cell r="Z17">
            <v>1.2</v>
          </cell>
          <cell r="AA17">
            <v>1.2</v>
          </cell>
          <cell r="AB17">
            <v>1.2</v>
          </cell>
          <cell r="AC17">
            <v>1.2</v>
          </cell>
          <cell r="AD17">
            <v>1.2</v>
          </cell>
          <cell r="AE17">
            <v>1.2</v>
          </cell>
          <cell r="AF17">
            <v>1.2</v>
          </cell>
          <cell r="AG17">
            <v>1.2</v>
          </cell>
          <cell r="AH17">
            <v>1.2</v>
          </cell>
          <cell r="AI17">
            <v>1.2</v>
          </cell>
          <cell r="AJ17">
            <v>1.2</v>
          </cell>
          <cell r="AK17">
            <v>1.2</v>
          </cell>
          <cell r="AL17">
            <v>1.2</v>
          </cell>
          <cell r="AM17">
            <v>1.2</v>
          </cell>
          <cell r="AN17">
            <v>1.2</v>
          </cell>
          <cell r="AO17">
            <v>1.2</v>
          </cell>
          <cell r="AP17">
            <v>1.2</v>
          </cell>
          <cell r="AQ17">
            <v>1.2</v>
          </cell>
          <cell r="AR17">
            <v>1.2</v>
          </cell>
          <cell r="AS17">
            <v>1.2</v>
          </cell>
          <cell r="AT17">
            <v>1.2</v>
          </cell>
          <cell r="AU17">
            <v>1.1000000000000001</v>
          </cell>
          <cell r="AV17">
            <v>1.1000000000000001</v>
          </cell>
          <cell r="AW17">
            <v>1.1000000000000001</v>
          </cell>
          <cell r="AX17">
            <v>1.1000000000000001</v>
          </cell>
          <cell r="AY17">
            <v>1.1000000000000001</v>
          </cell>
          <cell r="AZ17">
            <v>1.1000000000000001</v>
          </cell>
          <cell r="BA17">
            <v>1.1000000000000001</v>
          </cell>
          <cell r="BB17">
            <v>1.1000000000000001</v>
          </cell>
          <cell r="BC17">
            <v>1.1000000000000001</v>
          </cell>
          <cell r="BD17">
            <v>1.1000000000000001</v>
          </cell>
          <cell r="BE17">
            <v>1.1000000000000001</v>
          </cell>
          <cell r="BF17">
            <v>1.1000000000000001</v>
          </cell>
          <cell r="BG17">
            <v>1.1000000000000001</v>
          </cell>
          <cell r="BH17">
            <v>1.1000000000000001</v>
          </cell>
          <cell r="BI17">
            <v>1.1000000000000001</v>
          </cell>
          <cell r="BJ17">
            <v>1.1000000000000001</v>
          </cell>
          <cell r="BK17">
            <v>1.1000000000000001</v>
          </cell>
          <cell r="BL17">
            <v>1.1000000000000001</v>
          </cell>
          <cell r="BM17">
            <v>1.1000000000000001</v>
          </cell>
          <cell r="BN17">
            <v>1.1000000000000001</v>
          </cell>
          <cell r="BO17">
            <v>1.1000000000000001</v>
          </cell>
          <cell r="BP17">
            <v>1.1000000000000001</v>
          </cell>
          <cell r="BQ17">
            <v>0.95</v>
          </cell>
          <cell r="BR17">
            <v>0.95</v>
          </cell>
          <cell r="BS17">
            <v>0.95</v>
          </cell>
          <cell r="BT17">
            <v>0.95</v>
          </cell>
          <cell r="BU17">
            <v>0.95</v>
          </cell>
          <cell r="BV17">
            <v>0.95</v>
          </cell>
          <cell r="BW17">
            <v>0.95</v>
          </cell>
          <cell r="BX17">
            <v>0.95</v>
          </cell>
          <cell r="BY17">
            <v>0.95</v>
          </cell>
          <cell r="BZ17">
            <v>0.95</v>
          </cell>
          <cell r="CA17">
            <v>0.95</v>
          </cell>
          <cell r="CB17">
            <v>0.95</v>
          </cell>
          <cell r="CC17">
            <v>0.95</v>
          </cell>
          <cell r="CD17">
            <v>0.95</v>
          </cell>
          <cell r="CE17">
            <v>0.95</v>
          </cell>
          <cell r="CF17">
            <v>0.95</v>
          </cell>
          <cell r="CG17">
            <v>0.95</v>
          </cell>
          <cell r="CH17">
            <v>0.95</v>
          </cell>
          <cell r="CI17">
            <v>0.95</v>
          </cell>
          <cell r="CJ17">
            <v>0.95</v>
          </cell>
          <cell r="CK17">
            <v>0.95</v>
          </cell>
          <cell r="CL17">
            <v>0.95</v>
          </cell>
        </row>
        <row r="18">
          <cell r="A18" t="str">
            <v>HARDV-Gap.Imp - Gap Closure Implementation Fees</v>
          </cell>
          <cell r="B18" t="str">
            <v>V-Gap.Imp - Gap Closure Implementation Fees</v>
          </cell>
          <cell r="C18">
            <v>1</v>
          </cell>
          <cell r="D18">
            <v>1</v>
          </cell>
          <cell r="E18">
            <v>1</v>
          </cell>
          <cell r="F18">
            <v>1</v>
          </cell>
          <cell r="G18">
            <v>1</v>
          </cell>
          <cell r="H18">
            <v>1</v>
          </cell>
          <cell r="I18">
            <v>1</v>
          </cell>
          <cell r="J18">
            <v>1</v>
          </cell>
          <cell r="K18">
            <v>1</v>
          </cell>
          <cell r="L18">
            <v>1</v>
          </cell>
          <cell r="M18">
            <v>1</v>
          </cell>
          <cell r="N18">
            <v>1</v>
          </cell>
          <cell r="O18">
            <v>1</v>
          </cell>
          <cell r="P18">
            <v>1</v>
          </cell>
          <cell r="Q18">
            <v>1</v>
          </cell>
          <cell r="R18">
            <v>1</v>
          </cell>
          <cell r="S18">
            <v>1</v>
          </cell>
          <cell r="T18">
            <v>1</v>
          </cell>
          <cell r="U18">
            <v>1</v>
          </cell>
          <cell r="V18">
            <v>1</v>
          </cell>
          <cell r="W18">
            <v>1</v>
          </cell>
          <cell r="X18">
            <v>1</v>
          </cell>
          <cell r="Y18">
            <v>1.2</v>
          </cell>
          <cell r="Z18">
            <v>1.2</v>
          </cell>
          <cell r="AA18">
            <v>1.2</v>
          </cell>
          <cell r="AB18">
            <v>1.2</v>
          </cell>
          <cell r="AC18">
            <v>1.2</v>
          </cell>
          <cell r="AD18">
            <v>1.2</v>
          </cell>
          <cell r="AE18">
            <v>1.2</v>
          </cell>
          <cell r="AF18">
            <v>1.2</v>
          </cell>
          <cell r="AG18">
            <v>1.2</v>
          </cell>
          <cell r="AH18">
            <v>1.2</v>
          </cell>
          <cell r="AI18">
            <v>1.2</v>
          </cell>
          <cell r="AJ18">
            <v>1.2</v>
          </cell>
          <cell r="AK18">
            <v>1.2</v>
          </cell>
          <cell r="AL18">
            <v>1.2</v>
          </cell>
          <cell r="AM18">
            <v>1.2</v>
          </cell>
          <cell r="AN18">
            <v>1.2</v>
          </cell>
          <cell r="AO18">
            <v>1.2</v>
          </cell>
          <cell r="AP18">
            <v>1.2</v>
          </cell>
          <cell r="AQ18">
            <v>1.2</v>
          </cell>
          <cell r="AR18">
            <v>1.2</v>
          </cell>
          <cell r="AS18">
            <v>1.2</v>
          </cell>
          <cell r="AT18">
            <v>1.2</v>
          </cell>
          <cell r="AU18">
            <v>1.1000000000000001</v>
          </cell>
          <cell r="AV18">
            <v>1.1000000000000001</v>
          </cell>
          <cell r="AW18">
            <v>1.1000000000000001</v>
          </cell>
          <cell r="AX18">
            <v>1.1000000000000001</v>
          </cell>
          <cell r="AY18">
            <v>1.1000000000000001</v>
          </cell>
          <cell r="AZ18">
            <v>1.1000000000000001</v>
          </cell>
          <cell r="BA18">
            <v>1.1000000000000001</v>
          </cell>
          <cell r="BB18">
            <v>1.1000000000000001</v>
          </cell>
          <cell r="BC18">
            <v>1.1000000000000001</v>
          </cell>
          <cell r="BD18">
            <v>1.1000000000000001</v>
          </cell>
          <cell r="BE18">
            <v>1.1000000000000001</v>
          </cell>
          <cell r="BF18">
            <v>1.1000000000000001</v>
          </cell>
          <cell r="BG18">
            <v>1.1000000000000001</v>
          </cell>
          <cell r="BH18">
            <v>1.1000000000000001</v>
          </cell>
          <cell r="BI18">
            <v>1.1000000000000001</v>
          </cell>
          <cell r="BJ18">
            <v>1.1000000000000001</v>
          </cell>
          <cell r="BK18">
            <v>1.1000000000000001</v>
          </cell>
          <cell r="BL18">
            <v>1.1000000000000001</v>
          </cell>
          <cell r="BM18">
            <v>1.1000000000000001</v>
          </cell>
          <cell r="BN18">
            <v>1.1000000000000001</v>
          </cell>
          <cell r="BO18">
            <v>1.1000000000000001</v>
          </cell>
          <cell r="BP18">
            <v>1.1000000000000001</v>
          </cell>
          <cell r="BQ18">
            <v>0.95</v>
          </cell>
          <cell r="BR18">
            <v>0.95</v>
          </cell>
          <cell r="BS18">
            <v>0.95</v>
          </cell>
          <cell r="BT18">
            <v>0.95</v>
          </cell>
          <cell r="BU18">
            <v>0.95</v>
          </cell>
          <cell r="BV18">
            <v>0.95</v>
          </cell>
          <cell r="BW18">
            <v>0.95</v>
          </cell>
          <cell r="BX18">
            <v>0.95</v>
          </cell>
          <cell r="BY18">
            <v>0.95</v>
          </cell>
          <cell r="BZ18">
            <v>0.95</v>
          </cell>
          <cell r="CA18">
            <v>0.95</v>
          </cell>
          <cell r="CB18">
            <v>0.95</v>
          </cell>
          <cell r="CC18">
            <v>0.95</v>
          </cell>
          <cell r="CD18">
            <v>0.95</v>
          </cell>
          <cell r="CE18">
            <v>0.95</v>
          </cell>
          <cell r="CF18">
            <v>0.95</v>
          </cell>
          <cell r="CG18">
            <v>0.95</v>
          </cell>
          <cell r="CH18">
            <v>0.95</v>
          </cell>
          <cell r="CI18">
            <v>0.95</v>
          </cell>
          <cell r="CJ18">
            <v>0.95</v>
          </cell>
          <cell r="CK18">
            <v>0.95</v>
          </cell>
          <cell r="CL18">
            <v>0.95</v>
          </cell>
        </row>
        <row r="19">
          <cell r="A19" t="str">
            <v>HARDOther Implementation Costs</v>
          </cell>
          <cell r="B19" t="str">
            <v>Other Implementation Costs</v>
          </cell>
          <cell r="C19">
            <v>1</v>
          </cell>
          <cell r="D19">
            <v>1</v>
          </cell>
          <cell r="E19">
            <v>1</v>
          </cell>
          <cell r="F19">
            <v>1</v>
          </cell>
          <cell r="G19">
            <v>1</v>
          </cell>
          <cell r="H19">
            <v>1</v>
          </cell>
          <cell r="I19">
            <v>1</v>
          </cell>
          <cell r="J19">
            <v>1</v>
          </cell>
          <cell r="K19">
            <v>1</v>
          </cell>
          <cell r="L19">
            <v>1</v>
          </cell>
          <cell r="M19">
            <v>1</v>
          </cell>
          <cell r="N19">
            <v>1</v>
          </cell>
          <cell r="O19">
            <v>1</v>
          </cell>
          <cell r="P19">
            <v>1</v>
          </cell>
          <cell r="Q19">
            <v>1</v>
          </cell>
          <cell r="R19">
            <v>1</v>
          </cell>
          <cell r="S19">
            <v>1</v>
          </cell>
          <cell r="T19">
            <v>1</v>
          </cell>
          <cell r="U19">
            <v>1</v>
          </cell>
          <cell r="V19">
            <v>1</v>
          </cell>
          <cell r="W19">
            <v>1</v>
          </cell>
          <cell r="X19">
            <v>1</v>
          </cell>
          <cell r="Y19">
            <v>1.2</v>
          </cell>
          <cell r="Z19">
            <v>1.2</v>
          </cell>
          <cell r="AA19">
            <v>1.2</v>
          </cell>
          <cell r="AB19">
            <v>1.2</v>
          </cell>
          <cell r="AC19">
            <v>1.2</v>
          </cell>
          <cell r="AD19">
            <v>1.2</v>
          </cell>
          <cell r="AE19">
            <v>1.2</v>
          </cell>
          <cell r="AF19">
            <v>1.2</v>
          </cell>
          <cell r="AG19">
            <v>1.2</v>
          </cell>
          <cell r="AH19">
            <v>1.2</v>
          </cell>
          <cell r="AI19">
            <v>1.2</v>
          </cell>
          <cell r="AJ19">
            <v>1.2</v>
          </cell>
          <cell r="AK19">
            <v>1.2</v>
          </cell>
          <cell r="AL19">
            <v>1.2</v>
          </cell>
          <cell r="AM19">
            <v>1.2</v>
          </cell>
          <cell r="AN19">
            <v>1.2</v>
          </cell>
          <cell r="AO19">
            <v>1.2</v>
          </cell>
          <cell r="AP19">
            <v>1.2</v>
          </cell>
          <cell r="AQ19">
            <v>1.2</v>
          </cell>
          <cell r="AR19">
            <v>1.2</v>
          </cell>
          <cell r="AS19">
            <v>1.2</v>
          </cell>
          <cell r="AT19">
            <v>1.2</v>
          </cell>
          <cell r="AU19">
            <v>1.1000000000000001</v>
          </cell>
          <cell r="AV19">
            <v>1.1000000000000001</v>
          </cell>
          <cell r="AW19">
            <v>1.1000000000000001</v>
          </cell>
          <cell r="AX19">
            <v>1.1000000000000001</v>
          </cell>
          <cell r="AY19">
            <v>1.1000000000000001</v>
          </cell>
          <cell r="AZ19">
            <v>1.1000000000000001</v>
          </cell>
          <cell r="BA19">
            <v>1.1000000000000001</v>
          </cell>
          <cell r="BB19">
            <v>1.1000000000000001</v>
          </cell>
          <cell r="BC19">
            <v>1.1000000000000001</v>
          </cell>
          <cell r="BD19">
            <v>1.1000000000000001</v>
          </cell>
          <cell r="BE19">
            <v>1.1000000000000001</v>
          </cell>
          <cell r="BF19">
            <v>1.1000000000000001</v>
          </cell>
          <cell r="BG19">
            <v>1.1000000000000001</v>
          </cell>
          <cell r="BH19">
            <v>1.1000000000000001</v>
          </cell>
          <cell r="BI19">
            <v>1.1000000000000001</v>
          </cell>
          <cell r="BJ19">
            <v>1.1000000000000001</v>
          </cell>
          <cell r="BK19">
            <v>1.1000000000000001</v>
          </cell>
          <cell r="BL19">
            <v>1.1000000000000001</v>
          </cell>
          <cell r="BM19">
            <v>1.1000000000000001</v>
          </cell>
          <cell r="BN19">
            <v>1.1000000000000001</v>
          </cell>
          <cell r="BO19">
            <v>1.1000000000000001</v>
          </cell>
          <cell r="BP19">
            <v>1.1000000000000001</v>
          </cell>
          <cell r="BQ19">
            <v>0.95</v>
          </cell>
          <cell r="BR19">
            <v>0.95</v>
          </cell>
          <cell r="BS19">
            <v>0.95</v>
          </cell>
          <cell r="BT19">
            <v>0.95</v>
          </cell>
          <cell r="BU19">
            <v>0.95</v>
          </cell>
          <cell r="BV19">
            <v>0.95</v>
          </cell>
          <cell r="BW19">
            <v>0.95</v>
          </cell>
          <cell r="BX19">
            <v>0.95</v>
          </cell>
          <cell r="BY19">
            <v>0.95</v>
          </cell>
          <cell r="BZ19">
            <v>0.95</v>
          </cell>
          <cell r="CA19">
            <v>0.95</v>
          </cell>
          <cell r="CB19">
            <v>0.95</v>
          </cell>
          <cell r="CC19">
            <v>0.95</v>
          </cell>
          <cell r="CD19">
            <v>0.95</v>
          </cell>
          <cell r="CE19">
            <v>0.95</v>
          </cell>
          <cell r="CF19">
            <v>0.95</v>
          </cell>
          <cell r="CG19">
            <v>0.95</v>
          </cell>
          <cell r="CH19">
            <v>0.95</v>
          </cell>
          <cell r="CI19">
            <v>0.95</v>
          </cell>
          <cell r="CJ19">
            <v>0.95</v>
          </cell>
          <cell r="CK19">
            <v>0.95</v>
          </cell>
          <cell r="CL19">
            <v>0.95</v>
          </cell>
        </row>
        <row r="20">
          <cell r="A20" t="str">
            <v>HARDOther Employee-Related Cost</v>
          </cell>
          <cell r="B20" t="str">
            <v>Other Employee-Related Cost</v>
          </cell>
          <cell r="C20">
            <v>1</v>
          </cell>
          <cell r="D20">
            <v>1</v>
          </cell>
          <cell r="E20">
            <v>1</v>
          </cell>
          <cell r="F20">
            <v>1</v>
          </cell>
          <cell r="G20">
            <v>1</v>
          </cell>
          <cell r="H20">
            <v>1</v>
          </cell>
          <cell r="I20">
            <v>1</v>
          </cell>
          <cell r="J20">
            <v>1</v>
          </cell>
          <cell r="K20">
            <v>1</v>
          </cell>
          <cell r="L20">
            <v>1</v>
          </cell>
          <cell r="M20">
            <v>1</v>
          </cell>
          <cell r="N20">
            <v>1</v>
          </cell>
          <cell r="O20">
            <v>1</v>
          </cell>
          <cell r="P20">
            <v>1</v>
          </cell>
          <cell r="Q20">
            <v>1</v>
          </cell>
          <cell r="R20">
            <v>1</v>
          </cell>
          <cell r="S20">
            <v>1</v>
          </cell>
          <cell r="T20">
            <v>1</v>
          </cell>
          <cell r="U20">
            <v>1</v>
          </cell>
          <cell r="V20">
            <v>1</v>
          </cell>
          <cell r="W20">
            <v>1</v>
          </cell>
          <cell r="X20">
            <v>1</v>
          </cell>
          <cell r="Y20">
            <v>1.2</v>
          </cell>
          <cell r="Z20">
            <v>1.2</v>
          </cell>
          <cell r="AA20">
            <v>1.2</v>
          </cell>
          <cell r="AB20">
            <v>1.2</v>
          </cell>
          <cell r="AC20">
            <v>1.2</v>
          </cell>
          <cell r="AD20">
            <v>1.2</v>
          </cell>
          <cell r="AE20">
            <v>1.2</v>
          </cell>
          <cell r="AF20">
            <v>1.2</v>
          </cell>
          <cell r="AG20">
            <v>1.2</v>
          </cell>
          <cell r="AH20">
            <v>1.2</v>
          </cell>
          <cell r="AI20">
            <v>1.2</v>
          </cell>
          <cell r="AJ20">
            <v>1.2</v>
          </cell>
          <cell r="AK20">
            <v>1.2</v>
          </cell>
          <cell r="AL20">
            <v>1.2</v>
          </cell>
          <cell r="AM20">
            <v>1.2</v>
          </cell>
          <cell r="AN20">
            <v>1.2</v>
          </cell>
          <cell r="AO20">
            <v>1.2</v>
          </cell>
          <cell r="AP20">
            <v>1.2</v>
          </cell>
          <cell r="AQ20">
            <v>1.2</v>
          </cell>
          <cell r="AR20">
            <v>1.2</v>
          </cell>
          <cell r="AS20">
            <v>1.2</v>
          </cell>
          <cell r="AT20">
            <v>1.2</v>
          </cell>
          <cell r="AU20">
            <v>1.1000000000000001</v>
          </cell>
          <cell r="AV20">
            <v>1.1000000000000001</v>
          </cell>
          <cell r="AW20">
            <v>1.1000000000000001</v>
          </cell>
          <cell r="AX20">
            <v>1.1000000000000001</v>
          </cell>
          <cell r="AY20">
            <v>1.1000000000000001</v>
          </cell>
          <cell r="AZ20">
            <v>1.1000000000000001</v>
          </cell>
          <cell r="BA20">
            <v>1.1000000000000001</v>
          </cell>
          <cell r="BB20">
            <v>1.1000000000000001</v>
          </cell>
          <cell r="BC20">
            <v>1.1000000000000001</v>
          </cell>
          <cell r="BD20">
            <v>1.1000000000000001</v>
          </cell>
          <cell r="BE20">
            <v>1.1000000000000001</v>
          </cell>
          <cell r="BF20">
            <v>1.1000000000000001</v>
          </cell>
          <cell r="BG20">
            <v>1.1000000000000001</v>
          </cell>
          <cell r="BH20">
            <v>1.1000000000000001</v>
          </cell>
          <cell r="BI20">
            <v>1.1000000000000001</v>
          </cell>
          <cell r="BJ20">
            <v>1.1000000000000001</v>
          </cell>
          <cell r="BK20">
            <v>1.1000000000000001</v>
          </cell>
          <cell r="BL20">
            <v>1.1000000000000001</v>
          </cell>
          <cell r="BM20">
            <v>1.1000000000000001</v>
          </cell>
          <cell r="BN20">
            <v>1.1000000000000001</v>
          </cell>
          <cell r="BO20">
            <v>1.1000000000000001</v>
          </cell>
          <cell r="BP20">
            <v>1.1000000000000001</v>
          </cell>
          <cell r="BQ20">
            <v>0.95</v>
          </cell>
          <cell r="BR20">
            <v>0.95</v>
          </cell>
          <cell r="BS20">
            <v>0.95</v>
          </cell>
          <cell r="BT20">
            <v>0.95</v>
          </cell>
          <cell r="BU20">
            <v>0.95</v>
          </cell>
          <cell r="BV20">
            <v>0.95</v>
          </cell>
          <cell r="BW20">
            <v>0.95</v>
          </cell>
          <cell r="BX20">
            <v>0.95</v>
          </cell>
          <cell r="BY20">
            <v>0.95</v>
          </cell>
          <cell r="BZ20">
            <v>0.95</v>
          </cell>
          <cell r="CA20">
            <v>0.95</v>
          </cell>
          <cell r="CB20">
            <v>0.95</v>
          </cell>
          <cell r="CC20">
            <v>0.95</v>
          </cell>
          <cell r="CD20">
            <v>0.95</v>
          </cell>
          <cell r="CE20">
            <v>0.95</v>
          </cell>
          <cell r="CF20">
            <v>0.95</v>
          </cell>
          <cell r="CG20">
            <v>0.95</v>
          </cell>
          <cell r="CH20">
            <v>0.95</v>
          </cell>
          <cell r="CI20">
            <v>0.95</v>
          </cell>
          <cell r="CJ20">
            <v>0.95</v>
          </cell>
          <cell r="CK20">
            <v>0.95</v>
          </cell>
          <cell r="CL20">
            <v>0.95</v>
          </cell>
        </row>
        <row r="21">
          <cell r="A21" t="str">
            <v>HARDOverhead and Contingency</v>
          </cell>
          <cell r="B21" t="str">
            <v>Overhead and Contingency</v>
          </cell>
          <cell r="C21">
            <v>1</v>
          </cell>
          <cell r="D21">
            <v>1</v>
          </cell>
          <cell r="E21">
            <v>1</v>
          </cell>
          <cell r="F21">
            <v>1</v>
          </cell>
          <cell r="G21">
            <v>1</v>
          </cell>
          <cell r="H21">
            <v>1</v>
          </cell>
          <cell r="I21">
            <v>1</v>
          </cell>
          <cell r="J21">
            <v>1</v>
          </cell>
          <cell r="K21">
            <v>1</v>
          </cell>
          <cell r="L21">
            <v>1</v>
          </cell>
          <cell r="M21">
            <v>1</v>
          </cell>
          <cell r="N21">
            <v>1</v>
          </cell>
          <cell r="O21">
            <v>1</v>
          </cell>
          <cell r="P21">
            <v>1</v>
          </cell>
          <cell r="Q21">
            <v>1</v>
          </cell>
          <cell r="R21">
            <v>1</v>
          </cell>
          <cell r="S21">
            <v>1</v>
          </cell>
          <cell r="T21">
            <v>1</v>
          </cell>
          <cell r="U21">
            <v>1</v>
          </cell>
          <cell r="V21">
            <v>1</v>
          </cell>
          <cell r="W21">
            <v>1</v>
          </cell>
          <cell r="X21">
            <v>1</v>
          </cell>
          <cell r="Y21">
            <v>1.2</v>
          </cell>
          <cell r="Z21">
            <v>1.2</v>
          </cell>
          <cell r="AA21">
            <v>1.2</v>
          </cell>
          <cell r="AB21">
            <v>1.2</v>
          </cell>
          <cell r="AC21">
            <v>1.2</v>
          </cell>
          <cell r="AD21">
            <v>1.2</v>
          </cell>
          <cell r="AE21">
            <v>1.2</v>
          </cell>
          <cell r="AF21">
            <v>1.2</v>
          </cell>
          <cell r="AG21">
            <v>1.2</v>
          </cell>
          <cell r="AH21">
            <v>1.2</v>
          </cell>
          <cell r="AI21">
            <v>1.2</v>
          </cell>
          <cell r="AJ21">
            <v>1.2</v>
          </cell>
          <cell r="AK21">
            <v>1.2</v>
          </cell>
          <cell r="AL21">
            <v>1.2</v>
          </cell>
          <cell r="AM21">
            <v>1.2</v>
          </cell>
          <cell r="AN21">
            <v>1.2</v>
          </cell>
          <cell r="AO21">
            <v>1.2</v>
          </cell>
          <cell r="AP21">
            <v>1.2</v>
          </cell>
          <cell r="AQ21">
            <v>1.2</v>
          </cell>
          <cell r="AR21">
            <v>1.2</v>
          </cell>
          <cell r="AS21">
            <v>1.2</v>
          </cell>
          <cell r="AT21">
            <v>1.2</v>
          </cell>
          <cell r="AU21">
            <v>1.1000000000000001</v>
          </cell>
          <cell r="AV21">
            <v>1.1000000000000001</v>
          </cell>
          <cell r="AW21">
            <v>1.1000000000000001</v>
          </cell>
          <cell r="AX21">
            <v>1.1000000000000001</v>
          </cell>
          <cell r="AY21">
            <v>1.1000000000000001</v>
          </cell>
          <cell r="AZ21">
            <v>1.1000000000000001</v>
          </cell>
          <cell r="BA21">
            <v>1.1000000000000001</v>
          </cell>
          <cell r="BB21">
            <v>1.1000000000000001</v>
          </cell>
          <cell r="BC21">
            <v>1.1000000000000001</v>
          </cell>
          <cell r="BD21">
            <v>1.1000000000000001</v>
          </cell>
          <cell r="BE21">
            <v>1.1000000000000001</v>
          </cell>
          <cell r="BF21">
            <v>1.1000000000000001</v>
          </cell>
          <cell r="BG21">
            <v>1.1000000000000001</v>
          </cell>
          <cell r="BH21">
            <v>1.1000000000000001</v>
          </cell>
          <cell r="BI21">
            <v>1.1000000000000001</v>
          </cell>
          <cell r="BJ21">
            <v>1.1000000000000001</v>
          </cell>
          <cell r="BK21">
            <v>1.1000000000000001</v>
          </cell>
          <cell r="BL21">
            <v>1.1000000000000001</v>
          </cell>
          <cell r="BM21">
            <v>1.1000000000000001</v>
          </cell>
          <cell r="BN21">
            <v>1.1000000000000001</v>
          </cell>
          <cell r="BO21">
            <v>1.1000000000000001</v>
          </cell>
          <cell r="BP21">
            <v>1.1000000000000001</v>
          </cell>
          <cell r="BQ21">
            <v>0.95</v>
          </cell>
          <cell r="BR21">
            <v>0.95</v>
          </cell>
          <cell r="BS21">
            <v>0.95</v>
          </cell>
          <cell r="BT21">
            <v>0.95</v>
          </cell>
          <cell r="BU21">
            <v>0.95</v>
          </cell>
          <cell r="BV21">
            <v>0.95</v>
          </cell>
          <cell r="BW21">
            <v>0.95</v>
          </cell>
          <cell r="BX21">
            <v>0.95</v>
          </cell>
          <cell r="BY21">
            <v>0.95</v>
          </cell>
          <cell r="BZ21">
            <v>0.95</v>
          </cell>
          <cell r="CA21">
            <v>0.95</v>
          </cell>
          <cell r="CB21">
            <v>0.95</v>
          </cell>
          <cell r="CC21">
            <v>0.95</v>
          </cell>
          <cell r="CD21">
            <v>0.95</v>
          </cell>
          <cell r="CE21">
            <v>0.95</v>
          </cell>
          <cell r="CF21">
            <v>0.95</v>
          </cell>
          <cell r="CG21">
            <v>0.95</v>
          </cell>
          <cell r="CH21">
            <v>0.95</v>
          </cell>
          <cell r="CI21">
            <v>0.95</v>
          </cell>
          <cell r="CJ21">
            <v>0.95</v>
          </cell>
          <cell r="CK21">
            <v>0.95</v>
          </cell>
          <cell r="CL21">
            <v>0.95</v>
          </cell>
        </row>
        <row r="22">
          <cell r="A22" t="str">
            <v>HARDProject Management (EPMO) Time</v>
          </cell>
          <cell r="B22" t="str">
            <v>Project Management (EPMO) Time</v>
          </cell>
          <cell r="C22">
            <v>1</v>
          </cell>
          <cell r="D22">
            <v>1</v>
          </cell>
          <cell r="E22">
            <v>1</v>
          </cell>
          <cell r="F22">
            <v>1</v>
          </cell>
          <cell r="G22">
            <v>1</v>
          </cell>
          <cell r="H22">
            <v>1</v>
          </cell>
          <cell r="I22">
            <v>1</v>
          </cell>
          <cell r="J22">
            <v>1</v>
          </cell>
          <cell r="K22">
            <v>1</v>
          </cell>
          <cell r="L22">
            <v>1</v>
          </cell>
          <cell r="M22">
            <v>1</v>
          </cell>
          <cell r="N22">
            <v>1</v>
          </cell>
          <cell r="O22">
            <v>1</v>
          </cell>
          <cell r="P22">
            <v>1</v>
          </cell>
          <cell r="Q22">
            <v>1</v>
          </cell>
          <cell r="R22">
            <v>1</v>
          </cell>
          <cell r="S22">
            <v>1</v>
          </cell>
          <cell r="T22">
            <v>1</v>
          </cell>
          <cell r="U22">
            <v>1</v>
          </cell>
          <cell r="V22">
            <v>1</v>
          </cell>
          <cell r="W22">
            <v>1</v>
          </cell>
          <cell r="X22">
            <v>1</v>
          </cell>
          <cell r="Y22">
            <v>1.2</v>
          </cell>
          <cell r="Z22">
            <v>1.2</v>
          </cell>
          <cell r="AA22">
            <v>1.2</v>
          </cell>
          <cell r="AB22">
            <v>1.2</v>
          </cell>
          <cell r="AC22">
            <v>1.2</v>
          </cell>
          <cell r="AD22">
            <v>1.2</v>
          </cell>
          <cell r="AE22">
            <v>1.2</v>
          </cell>
          <cell r="AF22">
            <v>1.2</v>
          </cell>
          <cell r="AG22">
            <v>1.2</v>
          </cell>
          <cell r="AH22">
            <v>1.2</v>
          </cell>
          <cell r="AI22">
            <v>1.2</v>
          </cell>
          <cell r="AJ22">
            <v>1.2</v>
          </cell>
          <cell r="AK22">
            <v>1.2</v>
          </cell>
          <cell r="AL22">
            <v>1.2</v>
          </cell>
          <cell r="AM22">
            <v>1.2</v>
          </cell>
          <cell r="AN22">
            <v>1.2</v>
          </cell>
          <cell r="AO22">
            <v>1.2</v>
          </cell>
          <cell r="AP22">
            <v>1.2</v>
          </cell>
          <cell r="AQ22">
            <v>1.2</v>
          </cell>
          <cell r="AR22">
            <v>1.2</v>
          </cell>
          <cell r="AS22">
            <v>1.2</v>
          </cell>
          <cell r="AT22">
            <v>1.2</v>
          </cell>
          <cell r="AU22">
            <v>1.1000000000000001</v>
          </cell>
          <cell r="AV22">
            <v>1.1000000000000001</v>
          </cell>
          <cell r="AW22">
            <v>1.1000000000000001</v>
          </cell>
          <cell r="AX22">
            <v>1.1000000000000001</v>
          </cell>
          <cell r="AY22">
            <v>1.1000000000000001</v>
          </cell>
          <cell r="AZ22">
            <v>1.1000000000000001</v>
          </cell>
          <cell r="BA22">
            <v>1.1000000000000001</v>
          </cell>
          <cell r="BB22">
            <v>1.1000000000000001</v>
          </cell>
          <cell r="BC22">
            <v>1.1000000000000001</v>
          </cell>
          <cell r="BD22">
            <v>1.1000000000000001</v>
          </cell>
          <cell r="BE22">
            <v>1.1000000000000001</v>
          </cell>
          <cell r="BF22">
            <v>1.1000000000000001</v>
          </cell>
          <cell r="BG22">
            <v>1.1000000000000001</v>
          </cell>
          <cell r="BH22">
            <v>1.1000000000000001</v>
          </cell>
          <cell r="BI22">
            <v>1.1000000000000001</v>
          </cell>
          <cell r="BJ22">
            <v>1.1000000000000001</v>
          </cell>
          <cell r="BK22">
            <v>1.1000000000000001</v>
          </cell>
          <cell r="BL22">
            <v>1.1000000000000001</v>
          </cell>
          <cell r="BM22">
            <v>1.1000000000000001</v>
          </cell>
          <cell r="BN22">
            <v>1.1000000000000001</v>
          </cell>
          <cell r="BO22">
            <v>1.1000000000000001</v>
          </cell>
          <cell r="BP22">
            <v>1.1000000000000001</v>
          </cell>
          <cell r="BQ22">
            <v>0.95</v>
          </cell>
          <cell r="BR22">
            <v>0.95</v>
          </cell>
          <cell r="BS22">
            <v>0.95</v>
          </cell>
          <cell r="BT22">
            <v>0.95</v>
          </cell>
          <cell r="BU22">
            <v>0.95</v>
          </cell>
          <cell r="BV22">
            <v>0.95</v>
          </cell>
          <cell r="BW22">
            <v>0.95</v>
          </cell>
          <cell r="BX22">
            <v>0.95</v>
          </cell>
          <cell r="BY22">
            <v>0.95</v>
          </cell>
          <cell r="BZ22">
            <v>0.95</v>
          </cell>
          <cell r="CA22">
            <v>0.95</v>
          </cell>
          <cell r="CB22">
            <v>0.95</v>
          </cell>
          <cell r="CC22">
            <v>0.95</v>
          </cell>
          <cell r="CD22">
            <v>0.95</v>
          </cell>
          <cell r="CE22">
            <v>0.95</v>
          </cell>
          <cell r="CF22">
            <v>0.95</v>
          </cell>
          <cell r="CG22">
            <v>0.95</v>
          </cell>
          <cell r="CH22">
            <v>0.95</v>
          </cell>
          <cell r="CI22">
            <v>0.95</v>
          </cell>
          <cell r="CJ22">
            <v>0.95</v>
          </cell>
          <cell r="CK22">
            <v>0.95</v>
          </cell>
          <cell r="CL22">
            <v>0.95</v>
          </cell>
        </row>
        <row r="23">
          <cell r="A23" t="str">
            <v>HARDLeadership Overhead Time</v>
          </cell>
          <cell r="B23" t="str">
            <v>Leadership Overhead Time</v>
          </cell>
          <cell r="C23">
            <v>1</v>
          </cell>
          <cell r="D23">
            <v>1</v>
          </cell>
          <cell r="E23">
            <v>1</v>
          </cell>
          <cell r="F23">
            <v>1</v>
          </cell>
          <cell r="G23">
            <v>1</v>
          </cell>
          <cell r="H23">
            <v>1</v>
          </cell>
          <cell r="I23">
            <v>1</v>
          </cell>
          <cell r="J23">
            <v>1</v>
          </cell>
          <cell r="K23">
            <v>1</v>
          </cell>
          <cell r="L23">
            <v>1</v>
          </cell>
          <cell r="M23">
            <v>1</v>
          </cell>
          <cell r="N23">
            <v>1</v>
          </cell>
          <cell r="O23">
            <v>1</v>
          </cell>
          <cell r="P23">
            <v>1</v>
          </cell>
          <cell r="Q23">
            <v>1</v>
          </cell>
          <cell r="R23">
            <v>1</v>
          </cell>
          <cell r="S23">
            <v>1</v>
          </cell>
          <cell r="T23">
            <v>1</v>
          </cell>
          <cell r="U23">
            <v>1</v>
          </cell>
          <cell r="V23">
            <v>1</v>
          </cell>
          <cell r="W23">
            <v>1</v>
          </cell>
          <cell r="X23">
            <v>1</v>
          </cell>
          <cell r="Y23">
            <v>1.2</v>
          </cell>
          <cell r="Z23">
            <v>1.2</v>
          </cell>
          <cell r="AA23">
            <v>1.2</v>
          </cell>
          <cell r="AB23">
            <v>1.2</v>
          </cell>
          <cell r="AC23">
            <v>1.2</v>
          </cell>
          <cell r="AD23">
            <v>1.2</v>
          </cell>
          <cell r="AE23">
            <v>1.2</v>
          </cell>
          <cell r="AF23">
            <v>1.2</v>
          </cell>
          <cell r="AG23">
            <v>1.2</v>
          </cell>
          <cell r="AH23">
            <v>1.2</v>
          </cell>
          <cell r="AI23">
            <v>1.2</v>
          </cell>
          <cell r="AJ23">
            <v>1.2</v>
          </cell>
          <cell r="AK23">
            <v>1.2</v>
          </cell>
          <cell r="AL23">
            <v>1.2</v>
          </cell>
          <cell r="AM23">
            <v>1.2</v>
          </cell>
          <cell r="AN23">
            <v>1.2</v>
          </cell>
          <cell r="AO23">
            <v>1.2</v>
          </cell>
          <cell r="AP23">
            <v>1.2</v>
          </cell>
          <cell r="AQ23">
            <v>1.2</v>
          </cell>
          <cell r="AR23">
            <v>1.2</v>
          </cell>
          <cell r="AS23">
            <v>1.2</v>
          </cell>
          <cell r="AT23">
            <v>1.2</v>
          </cell>
          <cell r="AU23">
            <v>1.1000000000000001</v>
          </cell>
          <cell r="AV23">
            <v>1.1000000000000001</v>
          </cell>
          <cell r="AW23">
            <v>1.1000000000000001</v>
          </cell>
          <cell r="AX23">
            <v>1.1000000000000001</v>
          </cell>
          <cell r="AY23">
            <v>1.1000000000000001</v>
          </cell>
          <cell r="AZ23">
            <v>1.1000000000000001</v>
          </cell>
          <cell r="BA23">
            <v>1.1000000000000001</v>
          </cell>
          <cell r="BB23">
            <v>1.1000000000000001</v>
          </cell>
          <cell r="BC23">
            <v>1.1000000000000001</v>
          </cell>
          <cell r="BD23">
            <v>1.1000000000000001</v>
          </cell>
          <cell r="BE23">
            <v>1.1000000000000001</v>
          </cell>
          <cell r="BF23">
            <v>1.1000000000000001</v>
          </cell>
          <cell r="BG23">
            <v>1.1000000000000001</v>
          </cell>
          <cell r="BH23">
            <v>1.1000000000000001</v>
          </cell>
          <cell r="BI23">
            <v>1.1000000000000001</v>
          </cell>
          <cell r="BJ23">
            <v>1.1000000000000001</v>
          </cell>
          <cell r="BK23">
            <v>1.1000000000000001</v>
          </cell>
          <cell r="BL23">
            <v>1.1000000000000001</v>
          </cell>
          <cell r="BM23">
            <v>1.1000000000000001</v>
          </cell>
          <cell r="BN23">
            <v>1.1000000000000001</v>
          </cell>
          <cell r="BO23">
            <v>1.1000000000000001</v>
          </cell>
          <cell r="BP23">
            <v>1.1000000000000001</v>
          </cell>
          <cell r="BQ23">
            <v>0.95</v>
          </cell>
          <cell r="BR23">
            <v>0.95</v>
          </cell>
          <cell r="BS23">
            <v>0.95</v>
          </cell>
          <cell r="BT23">
            <v>0.95</v>
          </cell>
          <cell r="BU23">
            <v>0.95</v>
          </cell>
          <cell r="BV23">
            <v>0.95</v>
          </cell>
          <cell r="BW23">
            <v>0.95</v>
          </cell>
          <cell r="BX23">
            <v>0.95</v>
          </cell>
          <cell r="BY23">
            <v>0.95</v>
          </cell>
          <cell r="BZ23">
            <v>0.95</v>
          </cell>
          <cell r="CA23">
            <v>0.95</v>
          </cell>
          <cell r="CB23">
            <v>0.95</v>
          </cell>
          <cell r="CC23">
            <v>0.95</v>
          </cell>
          <cell r="CD23">
            <v>0.95</v>
          </cell>
          <cell r="CE23">
            <v>0.95</v>
          </cell>
          <cell r="CF23">
            <v>0.95</v>
          </cell>
          <cell r="CG23">
            <v>0.95</v>
          </cell>
          <cell r="CH23">
            <v>0.95</v>
          </cell>
          <cell r="CI23">
            <v>0.95</v>
          </cell>
          <cell r="CJ23">
            <v>0.95</v>
          </cell>
          <cell r="CK23">
            <v>0.95</v>
          </cell>
          <cell r="CL23">
            <v>0.95</v>
          </cell>
        </row>
        <row r="24">
          <cell r="A24" t="str">
            <v>HARD</v>
          </cell>
          <cell r="B24">
            <v>0</v>
          </cell>
          <cell r="C24">
            <v>1</v>
          </cell>
          <cell r="D24">
            <v>1</v>
          </cell>
          <cell r="E24">
            <v>1</v>
          </cell>
          <cell r="F24">
            <v>1</v>
          </cell>
          <cell r="G24">
            <v>1</v>
          </cell>
          <cell r="H24">
            <v>1</v>
          </cell>
          <cell r="I24">
            <v>1</v>
          </cell>
          <cell r="J24">
            <v>1</v>
          </cell>
          <cell r="K24">
            <v>1</v>
          </cell>
          <cell r="L24">
            <v>1</v>
          </cell>
          <cell r="M24">
            <v>1</v>
          </cell>
          <cell r="N24">
            <v>1</v>
          </cell>
          <cell r="O24">
            <v>1</v>
          </cell>
          <cell r="P24">
            <v>1</v>
          </cell>
          <cell r="Q24">
            <v>1</v>
          </cell>
          <cell r="R24">
            <v>1</v>
          </cell>
          <cell r="S24">
            <v>1</v>
          </cell>
          <cell r="T24">
            <v>1</v>
          </cell>
          <cell r="U24">
            <v>1</v>
          </cell>
          <cell r="V24">
            <v>1</v>
          </cell>
          <cell r="W24">
            <v>1</v>
          </cell>
          <cell r="X24">
            <v>1</v>
          </cell>
          <cell r="Y24">
            <v>1.2</v>
          </cell>
          <cell r="Z24">
            <v>1.2</v>
          </cell>
          <cell r="AA24">
            <v>1.2</v>
          </cell>
          <cell r="AB24">
            <v>1.2</v>
          </cell>
          <cell r="AC24">
            <v>1.2</v>
          </cell>
          <cell r="AD24">
            <v>1.2</v>
          </cell>
          <cell r="AE24">
            <v>1.2</v>
          </cell>
          <cell r="AF24">
            <v>1.2</v>
          </cell>
          <cell r="AG24">
            <v>1.2</v>
          </cell>
          <cell r="AH24">
            <v>1.2</v>
          </cell>
          <cell r="AI24">
            <v>1.2</v>
          </cell>
          <cell r="AJ24">
            <v>1.2</v>
          </cell>
          <cell r="AK24">
            <v>1.2</v>
          </cell>
          <cell r="AL24">
            <v>1.2</v>
          </cell>
          <cell r="AM24">
            <v>1.2</v>
          </cell>
          <cell r="AN24">
            <v>1.2</v>
          </cell>
          <cell r="AO24">
            <v>1.2</v>
          </cell>
          <cell r="AP24">
            <v>1.2</v>
          </cell>
          <cell r="AQ24">
            <v>1.2</v>
          </cell>
          <cell r="AR24">
            <v>1.2</v>
          </cell>
          <cell r="AS24">
            <v>1.2</v>
          </cell>
          <cell r="AT24">
            <v>1.2</v>
          </cell>
          <cell r="AU24">
            <v>1.1000000000000001</v>
          </cell>
          <cell r="AV24">
            <v>1.1000000000000001</v>
          </cell>
          <cell r="AW24">
            <v>1.1000000000000001</v>
          </cell>
          <cell r="AX24">
            <v>1.1000000000000001</v>
          </cell>
          <cell r="AY24">
            <v>1.1000000000000001</v>
          </cell>
          <cell r="AZ24">
            <v>1.1000000000000001</v>
          </cell>
          <cell r="BA24">
            <v>1.1000000000000001</v>
          </cell>
          <cell r="BB24">
            <v>1.1000000000000001</v>
          </cell>
          <cell r="BC24">
            <v>1.1000000000000001</v>
          </cell>
          <cell r="BD24">
            <v>1.1000000000000001</v>
          </cell>
          <cell r="BE24">
            <v>1.1000000000000001</v>
          </cell>
          <cell r="BF24">
            <v>1.1000000000000001</v>
          </cell>
          <cell r="BG24">
            <v>1.1000000000000001</v>
          </cell>
          <cell r="BH24">
            <v>1.1000000000000001</v>
          </cell>
          <cell r="BI24">
            <v>1.1000000000000001</v>
          </cell>
          <cell r="BJ24">
            <v>1.1000000000000001</v>
          </cell>
          <cell r="BK24">
            <v>1.1000000000000001</v>
          </cell>
          <cell r="BL24">
            <v>1.1000000000000001</v>
          </cell>
          <cell r="BM24">
            <v>1.1000000000000001</v>
          </cell>
          <cell r="BN24">
            <v>1.1000000000000001</v>
          </cell>
          <cell r="BO24">
            <v>1.1000000000000001</v>
          </cell>
          <cell r="BP24">
            <v>1.1000000000000001</v>
          </cell>
          <cell r="BQ24">
            <v>0.95</v>
          </cell>
          <cell r="BR24">
            <v>0.95</v>
          </cell>
          <cell r="BS24">
            <v>0.95</v>
          </cell>
          <cell r="BT24">
            <v>0.95</v>
          </cell>
          <cell r="BU24">
            <v>0.95</v>
          </cell>
          <cell r="BV24">
            <v>0.95</v>
          </cell>
          <cell r="BW24">
            <v>0.95</v>
          </cell>
          <cell r="BX24">
            <v>0.95</v>
          </cell>
          <cell r="BY24">
            <v>0.95</v>
          </cell>
          <cell r="BZ24">
            <v>0.95</v>
          </cell>
          <cell r="CA24">
            <v>0.95</v>
          </cell>
          <cell r="CB24">
            <v>0.95</v>
          </cell>
          <cell r="CC24">
            <v>0.95</v>
          </cell>
          <cell r="CD24">
            <v>0.95</v>
          </cell>
          <cell r="CE24">
            <v>0.95</v>
          </cell>
          <cell r="CF24">
            <v>0.95</v>
          </cell>
          <cell r="CG24">
            <v>0.95</v>
          </cell>
          <cell r="CH24">
            <v>0.95</v>
          </cell>
          <cell r="CI24">
            <v>0.95</v>
          </cell>
          <cell r="CJ24">
            <v>0.95</v>
          </cell>
          <cell r="CK24">
            <v>0.95</v>
          </cell>
          <cell r="CL24">
            <v>0.95</v>
          </cell>
        </row>
        <row r="25">
          <cell r="A25" t="str">
            <v>HARD</v>
          </cell>
          <cell r="B25">
            <v>0</v>
          </cell>
          <cell r="C25">
            <v>1</v>
          </cell>
          <cell r="D25">
            <v>1</v>
          </cell>
          <cell r="E25">
            <v>1</v>
          </cell>
          <cell r="F25">
            <v>1</v>
          </cell>
          <cell r="G25">
            <v>1</v>
          </cell>
          <cell r="H25">
            <v>1</v>
          </cell>
          <cell r="I25">
            <v>1</v>
          </cell>
          <cell r="J25">
            <v>1</v>
          </cell>
          <cell r="K25">
            <v>1</v>
          </cell>
          <cell r="L25">
            <v>1</v>
          </cell>
          <cell r="M25">
            <v>1</v>
          </cell>
          <cell r="N25">
            <v>1</v>
          </cell>
          <cell r="O25">
            <v>1</v>
          </cell>
          <cell r="P25">
            <v>1</v>
          </cell>
          <cell r="Q25">
            <v>1</v>
          </cell>
          <cell r="R25">
            <v>1</v>
          </cell>
          <cell r="S25">
            <v>1</v>
          </cell>
          <cell r="T25">
            <v>1</v>
          </cell>
          <cell r="U25">
            <v>1</v>
          </cell>
          <cell r="V25">
            <v>1</v>
          </cell>
          <cell r="W25">
            <v>1</v>
          </cell>
          <cell r="X25">
            <v>1</v>
          </cell>
          <cell r="Y25">
            <v>1.2</v>
          </cell>
          <cell r="Z25">
            <v>1.2</v>
          </cell>
          <cell r="AA25">
            <v>1.2</v>
          </cell>
          <cell r="AB25">
            <v>1.2</v>
          </cell>
          <cell r="AC25">
            <v>1.2</v>
          </cell>
          <cell r="AD25">
            <v>1.2</v>
          </cell>
          <cell r="AE25">
            <v>1.2</v>
          </cell>
          <cell r="AF25">
            <v>1.2</v>
          </cell>
          <cell r="AG25">
            <v>1.2</v>
          </cell>
          <cell r="AH25">
            <v>1.2</v>
          </cell>
          <cell r="AI25">
            <v>1.2</v>
          </cell>
          <cell r="AJ25">
            <v>1.2</v>
          </cell>
          <cell r="AK25">
            <v>1.2</v>
          </cell>
          <cell r="AL25">
            <v>1.2</v>
          </cell>
          <cell r="AM25">
            <v>1.2</v>
          </cell>
          <cell r="AN25">
            <v>1.2</v>
          </cell>
          <cell r="AO25">
            <v>1.2</v>
          </cell>
          <cell r="AP25">
            <v>1.2</v>
          </cell>
          <cell r="AQ25">
            <v>1.2</v>
          </cell>
          <cell r="AR25">
            <v>1.2</v>
          </cell>
          <cell r="AS25">
            <v>1.2</v>
          </cell>
          <cell r="AT25">
            <v>1.2</v>
          </cell>
          <cell r="AU25">
            <v>1.1000000000000001</v>
          </cell>
          <cell r="AV25">
            <v>1.1000000000000001</v>
          </cell>
          <cell r="AW25">
            <v>1.1000000000000001</v>
          </cell>
          <cell r="AX25">
            <v>1.1000000000000001</v>
          </cell>
          <cell r="AY25">
            <v>1.1000000000000001</v>
          </cell>
          <cell r="AZ25">
            <v>1.1000000000000001</v>
          </cell>
          <cell r="BA25">
            <v>1.1000000000000001</v>
          </cell>
          <cell r="BB25">
            <v>1.1000000000000001</v>
          </cell>
          <cell r="BC25">
            <v>1.1000000000000001</v>
          </cell>
          <cell r="BD25">
            <v>1.1000000000000001</v>
          </cell>
          <cell r="BE25">
            <v>1.1000000000000001</v>
          </cell>
          <cell r="BF25">
            <v>1.1000000000000001</v>
          </cell>
          <cell r="BG25">
            <v>1.1000000000000001</v>
          </cell>
          <cell r="BH25">
            <v>1.1000000000000001</v>
          </cell>
          <cell r="BI25">
            <v>1.1000000000000001</v>
          </cell>
          <cell r="BJ25">
            <v>1.1000000000000001</v>
          </cell>
          <cell r="BK25">
            <v>1.1000000000000001</v>
          </cell>
          <cell r="BL25">
            <v>1.1000000000000001</v>
          </cell>
          <cell r="BM25">
            <v>1.1000000000000001</v>
          </cell>
          <cell r="BN25">
            <v>1.1000000000000001</v>
          </cell>
          <cell r="BO25">
            <v>1.1000000000000001</v>
          </cell>
          <cell r="BP25">
            <v>1.1000000000000001</v>
          </cell>
          <cell r="BQ25">
            <v>0.95</v>
          </cell>
          <cell r="BR25">
            <v>0.95</v>
          </cell>
          <cell r="BS25">
            <v>0.95</v>
          </cell>
          <cell r="BT25">
            <v>0.95</v>
          </cell>
          <cell r="BU25">
            <v>0.95</v>
          </cell>
          <cell r="BV25">
            <v>0.95</v>
          </cell>
          <cell r="BW25">
            <v>0.95</v>
          </cell>
          <cell r="BX25">
            <v>0.95</v>
          </cell>
          <cell r="BY25">
            <v>0.95</v>
          </cell>
          <cell r="BZ25">
            <v>0.95</v>
          </cell>
          <cell r="CA25">
            <v>0.95</v>
          </cell>
          <cell r="CB25">
            <v>0.95</v>
          </cell>
          <cell r="CC25">
            <v>0.95</v>
          </cell>
          <cell r="CD25">
            <v>0.95</v>
          </cell>
          <cell r="CE25">
            <v>0.95</v>
          </cell>
          <cell r="CF25">
            <v>0.95</v>
          </cell>
          <cell r="CG25">
            <v>0.95</v>
          </cell>
          <cell r="CH25">
            <v>0.95</v>
          </cell>
          <cell r="CI25">
            <v>0.95</v>
          </cell>
          <cell r="CJ25">
            <v>0.95</v>
          </cell>
          <cell r="CK25">
            <v>0.95</v>
          </cell>
          <cell r="CL25">
            <v>0.95</v>
          </cell>
        </row>
        <row r="26">
          <cell r="A26" t="str">
            <v>HARD</v>
          </cell>
          <cell r="B26">
            <v>0</v>
          </cell>
          <cell r="C26">
            <v>1</v>
          </cell>
          <cell r="D26">
            <v>1</v>
          </cell>
          <cell r="E26">
            <v>1</v>
          </cell>
          <cell r="F26">
            <v>1</v>
          </cell>
          <cell r="G26">
            <v>1</v>
          </cell>
          <cell r="H26">
            <v>1</v>
          </cell>
          <cell r="I26">
            <v>1</v>
          </cell>
          <cell r="J26">
            <v>1</v>
          </cell>
          <cell r="K26">
            <v>1</v>
          </cell>
          <cell r="L26">
            <v>1</v>
          </cell>
          <cell r="M26">
            <v>1</v>
          </cell>
          <cell r="N26">
            <v>1</v>
          </cell>
          <cell r="O26">
            <v>1</v>
          </cell>
          <cell r="P26">
            <v>1</v>
          </cell>
          <cell r="Q26">
            <v>1</v>
          </cell>
          <cell r="R26">
            <v>1</v>
          </cell>
          <cell r="S26">
            <v>1</v>
          </cell>
          <cell r="T26">
            <v>1</v>
          </cell>
          <cell r="U26">
            <v>1</v>
          </cell>
          <cell r="V26">
            <v>1</v>
          </cell>
          <cell r="W26">
            <v>1</v>
          </cell>
          <cell r="X26">
            <v>1</v>
          </cell>
          <cell r="Y26">
            <v>1.2</v>
          </cell>
          <cell r="Z26">
            <v>1.2</v>
          </cell>
          <cell r="AA26">
            <v>1.2</v>
          </cell>
          <cell r="AB26">
            <v>1.2</v>
          </cell>
          <cell r="AC26">
            <v>1.2</v>
          </cell>
          <cell r="AD26">
            <v>1.2</v>
          </cell>
          <cell r="AE26">
            <v>1.2</v>
          </cell>
          <cell r="AF26">
            <v>1.2</v>
          </cell>
          <cell r="AG26">
            <v>1.2</v>
          </cell>
          <cell r="AH26">
            <v>1.2</v>
          </cell>
          <cell r="AI26">
            <v>1.2</v>
          </cell>
          <cell r="AJ26">
            <v>1.2</v>
          </cell>
          <cell r="AK26">
            <v>1.2</v>
          </cell>
          <cell r="AL26">
            <v>1.2</v>
          </cell>
          <cell r="AM26">
            <v>1.2</v>
          </cell>
          <cell r="AN26">
            <v>1.2</v>
          </cell>
          <cell r="AO26">
            <v>1.2</v>
          </cell>
          <cell r="AP26">
            <v>1.2</v>
          </cell>
          <cell r="AQ26">
            <v>1.2</v>
          </cell>
          <cell r="AR26">
            <v>1.2</v>
          </cell>
          <cell r="AS26">
            <v>1.2</v>
          </cell>
          <cell r="AT26">
            <v>1.2</v>
          </cell>
          <cell r="AU26">
            <v>1.1000000000000001</v>
          </cell>
          <cell r="AV26">
            <v>1.1000000000000001</v>
          </cell>
          <cell r="AW26">
            <v>1.1000000000000001</v>
          </cell>
          <cell r="AX26">
            <v>1.1000000000000001</v>
          </cell>
          <cell r="AY26">
            <v>1.1000000000000001</v>
          </cell>
          <cell r="AZ26">
            <v>1.1000000000000001</v>
          </cell>
          <cell r="BA26">
            <v>1.1000000000000001</v>
          </cell>
          <cell r="BB26">
            <v>1.1000000000000001</v>
          </cell>
          <cell r="BC26">
            <v>1.1000000000000001</v>
          </cell>
          <cell r="BD26">
            <v>1.1000000000000001</v>
          </cell>
          <cell r="BE26">
            <v>1.1000000000000001</v>
          </cell>
          <cell r="BF26">
            <v>1.1000000000000001</v>
          </cell>
          <cell r="BG26">
            <v>1.1000000000000001</v>
          </cell>
          <cell r="BH26">
            <v>1.1000000000000001</v>
          </cell>
          <cell r="BI26">
            <v>1.1000000000000001</v>
          </cell>
          <cell r="BJ26">
            <v>1.1000000000000001</v>
          </cell>
          <cell r="BK26">
            <v>1.1000000000000001</v>
          </cell>
          <cell r="BL26">
            <v>1.1000000000000001</v>
          </cell>
          <cell r="BM26">
            <v>1.1000000000000001</v>
          </cell>
          <cell r="BN26">
            <v>1.1000000000000001</v>
          </cell>
          <cell r="BO26">
            <v>1.1000000000000001</v>
          </cell>
          <cell r="BP26">
            <v>1.1000000000000001</v>
          </cell>
          <cell r="BQ26">
            <v>0.95</v>
          </cell>
          <cell r="BR26">
            <v>0.95</v>
          </cell>
          <cell r="BS26">
            <v>0.95</v>
          </cell>
          <cell r="BT26">
            <v>0.95</v>
          </cell>
          <cell r="BU26">
            <v>0.95</v>
          </cell>
          <cell r="BV26">
            <v>0.95</v>
          </cell>
          <cell r="BW26">
            <v>0.95</v>
          </cell>
          <cell r="BX26">
            <v>0.95</v>
          </cell>
          <cell r="BY26">
            <v>0.95</v>
          </cell>
          <cell r="BZ26">
            <v>0.95</v>
          </cell>
          <cell r="CA26">
            <v>0.95</v>
          </cell>
          <cell r="CB26">
            <v>0.95</v>
          </cell>
          <cell r="CC26">
            <v>0.95</v>
          </cell>
          <cell r="CD26">
            <v>0.95</v>
          </cell>
          <cell r="CE26">
            <v>0.95</v>
          </cell>
          <cell r="CF26">
            <v>0.95</v>
          </cell>
          <cell r="CG26">
            <v>0.95</v>
          </cell>
          <cell r="CH26">
            <v>0.95</v>
          </cell>
          <cell r="CI26">
            <v>0.95</v>
          </cell>
          <cell r="CJ26">
            <v>0.95</v>
          </cell>
          <cell r="CK26">
            <v>0.95</v>
          </cell>
          <cell r="CL26">
            <v>0.95</v>
          </cell>
        </row>
        <row r="27">
          <cell r="A27" t="str">
            <v>HARDContingency for Implementation</v>
          </cell>
          <cell r="B27" t="str">
            <v>Contingency for Implementation</v>
          </cell>
          <cell r="C27">
            <v>1</v>
          </cell>
          <cell r="D27">
            <v>1</v>
          </cell>
          <cell r="E27">
            <v>1</v>
          </cell>
          <cell r="F27">
            <v>1</v>
          </cell>
          <cell r="G27">
            <v>1</v>
          </cell>
          <cell r="H27">
            <v>1</v>
          </cell>
          <cell r="I27">
            <v>1</v>
          </cell>
          <cell r="J27">
            <v>1</v>
          </cell>
          <cell r="K27">
            <v>1</v>
          </cell>
          <cell r="L27">
            <v>1</v>
          </cell>
          <cell r="M27">
            <v>1</v>
          </cell>
          <cell r="N27">
            <v>1</v>
          </cell>
          <cell r="O27">
            <v>1</v>
          </cell>
          <cell r="P27">
            <v>1</v>
          </cell>
          <cell r="Q27">
            <v>1</v>
          </cell>
          <cell r="R27">
            <v>1</v>
          </cell>
          <cell r="S27">
            <v>1</v>
          </cell>
          <cell r="T27">
            <v>1</v>
          </cell>
          <cell r="U27">
            <v>1</v>
          </cell>
          <cell r="V27">
            <v>1</v>
          </cell>
          <cell r="W27">
            <v>1</v>
          </cell>
          <cell r="X27">
            <v>1</v>
          </cell>
          <cell r="Y27">
            <v>1.2</v>
          </cell>
          <cell r="Z27">
            <v>1.2</v>
          </cell>
          <cell r="AA27">
            <v>1.2</v>
          </cell>
          <cell r="AB27">
            <v>1.2</v>
          </cell>
          <cell r="AC27">
            <v>1.2</v>
          </cell>
          <cell r="AD27">
            <v>1.2</v>
          </cell>
          <cell r="AE27">
            <v>1.2</v>
          </cell>
          <cell r="AF27">
            <v>1.2</v>
          </cell>
          <cell r="AG27">
            <v>1.2</v>
          </cell>
          <cell r="AH27">
            <v>1.2</v>
          </cell>
          <cell r="AI27">
            <v>1.2</v>
          </cell>
          <cell r="AJ27">
            <v>1.2</v>
          </cell>
          <cell r="AK27">
            <v>1.2</v>
          </cell>
          <cell r="AL27">
            <v>1.2</v>
          </cell>
          <cell r="AM27">
            <v>1.2</v>
          </cell>
          <cell r="AN27">
            <v>1.2</v>
          </cell>
          <cell r="AO27">
            <v>1.2</v>
          </cell>
          <cell r="AP27">
            <v>1.2</v>
          </cell>
          <cell r="AQ27">
            <v>1.2</v>
          </cell>
          <cell r="AR27">
            <v>1.2</v>
          </cell>
          <cell r="AS27">
            <v>1.2</v>
          </cell>
          <cell r="AT27">
            <v>1.2</v>
          </cell>
          <cell r="AU27">
            <v>1.1000000000000001</v>
          </cell>
          <cell r="AV27">
            <v>1.1000000000000001</v>
          </cell>
          <cell r="AW27">
            <v>1.1000000000000001</v>
          </cell>
          <cell r="AX27">
            <v>1.1000000000000001</v>
          </cell>
          <cell r="AY27">
            <v>1.1000000000000001</v>
          </cell>
          <cell r="AZ27">
            <v>1.1000000000000001</v>
          </cell>
          <cell r="BA27">
            <v>1.1000000000000001</v>
          </cell>
          <cell r="BB27">
            <v>1.1000000000000001</v>
          </cell>
          <cell r="BC27">
            <v>1.1000000000000001</v>
          </cell>
          <cell r="BD27">
            <v>1.1000000000000001</v>
          </cell>
          <cell r="BE27">
            <v>1.1000000000000001</v>
          </cell>
          <cell r="BF27">
            <v>1.1000000000000001</v>
          </cell>
          <cell r="BG27">
            <v>1.1000000000000001</v>
          </cell>
          <cell r="BH27">
            <v>1.1000000000000001</v>
          </cell>
          <cell r="BI27">
            <v>1.1000000000000001</v>
          </cell>
          <cell r="BJ27">
            <v>1.1000000000000001</v>
          </cell>
          <cell r="BK27">
            <v>1.1000000000000001</v>
          </cell>
          <cell r="BL27">
            <v>1.1000000000000001</v>
          </cell>
          <cell r="BM27">
            <v>1.1000000000000001</v>
          </cell>
          <cell r="BN27">
            <v>1.1000000000000001</v>
          </cell>
          <cell r="BO27">
            <v>1.1000000000000001</v>
          </cell>
          <cell r="BP27">
            <v>1.1000000000000001</v>
          </cell>
          <cell r="BQ27">
            <v>0.95</v>
          </cell>
          <cell r="BR27">
            <v>0.95</v>
          </cell>
          <cell r="BS27">
            <v>0.95</v>
          </cell>
          <cell r="BT27">
            <v>0.95</v>
          </cell>
          <cell r="BU27">
            <v>0.95</v>
          </cell>
          <cell r="BV27">
            <v>0.95</v>
          </cell>
          <cell r="BW27">
            <v>0.95</v>
          </cell>
          <cell r="BX27">
            <v>0.95</v>
          </cell>
          <cell r="BY27">
            <v>0.95</v>
          </cell>
          <cell r="BZ27">
            <v>0.95</v>
          </cell>
          <cell r="CA27">
            <v>0.95</v>
          </cell>
          <cell r="CB27">
            <v>0.95</v>
          </cell>
          <cell r="CC27">
            <v>0.95</v>
          </cell>
          <cell r="CD27">
            <v>0.95</v>
          </cell>
          <cell r="CE27">
            <v>0.95</v>
          </cell>
          <cell r="CF27">
            <v>0.95</v>
          </cell>
          <cell r="CG27">
            <v>0.95</v>
          </cell>
          <cell r="CH27">
            <v>0.95</v>
          </cell>
          <cell r="CI27">
            <v>0.95</v>
          </cell>
          <cell r="CJ27">
            <v>0.95</v>
          </cell>
          <cell r="CK27">
            <v>0.95</v>
          </cell>
          <cell r="CL27">
            <v>0.95</v>
          </cell>
        </row>
        <row r="28">
          <cell r="A28" t="str">
            <v>HARD</v>
          </cell>
          <cell r="B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row>
        <row r="29">
          <cell r="A29" t="str">
            <v>HARD</v>
          </cell>
          <cell r="B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row>
        <row r="30">
          <cell r="A30" t="str">
            <v>HARD</v>
          </cell>
          <cell r="B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row>
        <row r="31">
          <cell r="A31" t="str">
            <v>HARD</v>
          </cell>
          <cell r="B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row>
        <row r="32">
          <cell r="A32" t="str">
            <v>HARD</v>
          </cell>
          <cell r="B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row>
        <row r="33">
          <cell r="A33" t="str">
            <v>HARD</v>
          </cell>
          <cell r="B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row>
        <row r="34">
          <cell r="A34" t="str">
            <v>HARD</v>
          </cell>
          <cell r="B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row>
        <row r="35">
          <cell r="A35" t="str">
            <v>HARD</v>
          </cell>
          <cell r="B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row>
        <row r="36">
          <cell r="A36" t="str">
            <v>HARD</v>
          </cell>
          <cell r="B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row>
        <row r="37">
          <cell r="A37" t="str">
            <v>HARD</v>
          </cell>
          <cell r="B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row>
        <row r="38">
          <cell r="A38" t="str">
            <v>HARD</v>
          </cell>
          <cell r="B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row>
        <row r="39">
          <cell r="A39" t="str">
            <v>HARD</v>
          </cell>
          <cell r="B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row>
        <row r="41">
          <cell r="A41" t="str">
            <v>SOFT</v>
          </cell>
          <cell r="B41" t="str">
            <v>Soft Costs</v>
          </cell>
        </row>
        <row r="42">
          <cell r="A42" t="str">
            <v>SOFT</v>
          </cell>
          <cell r="B42">
            <v>0</v>
          </cell>
          <cell r="C42">
            <v>1</v>
          </cell>
          <cell r="D42">
            <v>1</v>
          </cell>
          <cell r="E42">
            <v>1</v>
          </cell>
          <cell r="F42">
            <v>1</v>
          </cell>
          <cell r="G42">
            <v>1</v>
          </cell>
          <cell r="H42">
            <v>1</v>
          </cell>
          <cell r="I42">
            <v>1</v>
          </cell>
          <cell r="J42">
            <v>1</v>
          </cell>
          <cell r="K42">
            <v>1</v>
          </cell>
          <cell r="L42">
            <v>1</v>
          </cell>
          <cell r="M42">
            <v>1</v>
          </cell>
          <cell r="N42">
            <v>1</v>
          </cell>
          <cell r="O42">
            <v>1</v>
          </cell>
          <cell r="P42">
            <v>1</v>
          </cell>
          <cell r="Q42">
            <v>1</v>
          </cell>
          <cell r="R42">
            <v>1</v>
          </cell>
          <cell r="S42">
            <v>1</v>
          </cell>
          <cell r="T42">
            <v>1</v>
          </cell>
          <cell r="U42">
            <v>1</v>
          </cell>
          <cell r="V42">
            <v>1</v>
          </cell>
          <cell r="W42">
            <v>1</v>
          </cell>
          <cell r="X42">
            <v>1</v>
          </cell>
          <cell r="Y42">
            <v>1.2</v>
          </cell>
          <cell r="Z42">
            <v>1.2</v>
          </cell>
          <cell r="AA42">
            <v>1.2</v>
          </cell>
          <cell r="AB42">
            <v>1.2</v>
          </cell>
          <cell r="AC42">
            <v>1.2</v>
          </cell>
          <cell r="AD42">
            <v>1.2</v>
          </cell>
          <cell r="AE42">
            <v>1.2</v>
          </cell>
          <cell r="AF42">
            <v>1.2</v>
          </cell>
          <cell r="AG42">
            <v>1.2</v>
          </cell>
          <cell r="AH42">
            <v>1.2</v>
          </cell>
          <cell r="AI42">
            <v>1.2</v>
          </cell>
          <cell r="AJ42">
            <v>1.2</v>
          </cell>
          <cell r="AK42">
            <v>1.2</v>
          </cell>
          <cell r="AL42">
            <v>1.2</v>
          </cell>
          <cell r="AM42">
            <v>1.2</v>
          </cell>
          <cell r="AN42">
            <v>1.2</v>
          </cell>
          <cell r="AO42">
            <v>1.2</v>
          </cell>
          <cell r="AP42">
            <v>1.2</v>
          </cell>
          <cell r="AQ42">
            <v>1.2</v>
          </cell>
          <cell r="AR42">
            <v>1.2</v>
          </cell>
          <cell r="AS42">
            <v>1.2</v>
          </cell>
          <cell r="AT42">
            <v>1.2</v>
          </cell>
          <cell r="AU42">
            <v>1.1000000000000001</v>
          </cell>
          <cell r="AV42">
            <v>1.1000000000000001</v>
          </cell>
          <cell r="AW42">
            <v>1.1000000000000001</v>
          </cell>
          <cell r="AX42">
            <v>1.1000000000000001</v>
          </cell>
          <cell r="AY42">
            <v>1.1000000000000001</v>
          </cell>
          <cell r="AZ42">
            <v>1.1000000000000001</v>
          </cell>
          <cell r="BA42">
            <v>1.1000000000000001</v>
          </cell>
          <cell r="BB42">
            <v>1.1000000000000001</v>
          </cell>
          <cell r="BC42">
            <v>1.1000000000000001</v>
          </cell>
          <cell r="BD42">
            <v>1.1000000000000001</v>
          </cell>
          <cell r="BE42">
            <v>1.1000000000000001</v>
          </cell>
          <cell r="BF42">
            <v>1.1000000000000001</v>
          </cell>
          <cell r="BG42">
            <v>1.1000000000000001</v>
          </cell>
          <cell r="BH42">
            <v>1.1000000000000001</v>
          </cell>
          <cell r="BI42">
            <v>1.1000000000000001</v>
          </cell>
          <cell r="BJ42">
            <v>1.1000000000000001</v>
          </cell>
          <cell r="BK42">
            <v>1.1000000000000001</v>
          </cell>
          <cell r="BL42">
            <v>1.1000000000000001</v>
          </cell>
          <cell r="BM42">
            <v>1.1000000000000001</v>
          </cell>
          <cell r="BN42">
            <v>1.1000000000000001</v>
          </cell>
          <cell r="BO42">
            <v>1.1000000000000001</v>
          </cell>
          <cell r="BP42">
            <v>1.1000000000000001</v>
          </cell>
          <cell r="BQ42">
            <v>0.95</v>
          </cell>
          <cell r="BR42">
            <v>0.95</v>
          </cell>
          <cell r="BS42">
            <v>0.95</v>
          </cell>
          <cell r="BT42">
            <v>0.95</v>
          </cell>
          <cell r="BU42">
            <v>0.95</v>
          </cell>
          <cell r="BV42">
            <v>0.95</v>
          </cell>
          <cell r="BW42">
            <v>0.95</v>
          </cell>
          <cell r="BX42">
            <v>0.95</v>
          </cell>
          <cell r="BY42">
            <v>0.95</v>
          </cell>
          <cell r="BZ42">
            <v>0.95</v>
          </cell>
          <cell r="CA42">
            <v>0.95</v>
          </cell>
          <cell r="CB42">
            <v>0.95</v>
          </cell>
          <cell r="CC42">
            <v>0.95</v>
          </cell>
          <cell r="CD42">
            <v>0.95</v>
          </cell>
          <cell r="CE42">
            <v>0.95</v>
          </cell>
          <cell r="CF42">
            <v>0.95</v>
          </cell>
          <cell r="CG42">
            <v>0.95</v>
          </cell>
          <cell r="CH42">
            <v>0.95</v>
          </cell>
          <cell r="CI42">
            <v>0.95</v>
          </cell>
          <cell r="CJ42">
            <v>0.95</v>
          </cell>
          <cell r="CK42">
            <v>0.95</v>
          </cell>
          <cell r="CL42">
            <v>0.95</v>
          </cell>
        </row>
        <row r="43">
          <cell r="A43" t="str">
            <v>SOFT</v>
          </cell>
          <cell r="B43">
            <v>0</v>
          </cell>
          <cell r="C43">
            <v>1</v>
          </cell>
          <cell r="D43">
            <v>1</v>
          </cell>
          <cell r="E43">
            <v>1</v>
          </cell>
          <cell r="F43">
            <v>1</v>
          </cell>
          <cell r="G43">
            <v>1</v>
          </cell>
          <cell r="H43">
            <v>1</v>
          </cell>
          <cell r="I43">
            <v>1</v>
          </cell>
          <cell r="J43">
            <v>1</v>
          </cell>
          <cell r="K43">
            <v>1</v>
          </cell>
          <cell r="L43">
            <v>1</v>
          </cell>
          <cell r="M43">
            <v>1</v>
          </cell>
          <cell r="N43">
            <v>1</v>
          </cell>
          <cell r="O43">
            <v>1</v>
          </cell>
          <cell r="P43">
            <v>1</v>
          </cell>
          <cell r="Q43">
            <v>1</v>
          </cell>
          <cell r="R43">
            <v>1</v>
          </cell>
          <cell r="S43">
            <v>1</v>
          </cell>
          <cell r="T43">
            <v>1</v>
          </cell>
          <cell r="U43">
            <v>1</v>
          </cell>
          <cell r="V43">
            <v>1</v>
          </cell>
          <cell r="W43">
            <v>1</v>
          </cell>
          <cell r="X43">
            <v>1</v>
          </cell>
          <cell r="Y43">
            <v>1.2</v>
          </cell>
          <cell r="Z43">
            <v>1.2</v>
          </cell>
          <cell r="AA43">
            <v>1.2</v>
          </cell>
          <cell r="AB43">
            <v>1.2</v>
          </cell>
          <cell r="AC43">
            <v>1.2</v>
          </cell>
          <cell r="AD43">
            <v>1.2</v>
          </cell>
          <cell r="AE43">
            <v>1.2</v>
          </cell>
          <cell r="AF43">
            <v>1.2</v>
          </cell>
          <cell r="AG43">
            <v>1.2</v>
          </cell>
          <cell r="AH43">
            <v>1.2</v>
          </cell>
          <cell r="AI43">
            <v>1.2</v>
          </cell>
          <cell r="AJ43">
            <v>1.2</v>
          </cell>
          <cell r="AK43">
            <v>1.2</v>
          </cell>
          <cell r="AL43">
            <v>1.2</v>
          </cell>
          <cell r="AM43">
            <v>1.2</v>
          </cell>
          <cell r="AN43">
            <v>1.2</v>
          </cell>
          <cell r="AO43">
            <v>1.2</v>
          </cell>
          <cell r="AP43">
            <v>1.2</v>
          </cell>
          <cell r="AQ43">
            <v>1.2</v>
          </cell>
          <cell r="AR43">
            <v>1.2</v>
          </cell>
          <cell r="AS43">
            <v>1.2</v>
          </cell>
          <cell r="AT43">
            <v>1.2</v>
          </cell>
          <cell r="AU43">
            <v>1.1000000000000001</v>
          </cell>
          <cell r="AV43">
            <v>1.1000000000000001</v>
          </cell>
          <cell r="AW43">
            <v>1.1000000000000001</v>
          </cell>
          <cell r="AX43">
            <v>1.1000000000000001</v>
          </cell>
          <cell r="AY43">
            <v>1.1000000000000001</v>
          </cell>
          <cell r="AZ43">
            <v>1.1000000000000001</v>
          </cell>
          <cell r="BA43">
            <v>1.1000000000000001</v>
          </cell>
          <cell r="BB43">
            <v>1.1000000000000001</v>
          </cell>
          <cell r="BC43">
            <v>1.1000000000000001</v>
          </cell>
          <cell r="BD43">
            <v>1.1000000000000001</v>
          </cell>
          <cell r="BE43">
            <v>1.1000000000000001</v>
          </cell>
          <cell r="BF43">
            <v>1.1000000000000001</v>
          </cell>
          <cell r="BG43">
            <v>1.1000000000000001</v>
          </cell>
          <cell r="BH43">
            <v>1.1000000000000001</v>
          </cell>
          <cell r="BI43">
            <v>1.1000000000000001</v>
          </cell>
          <cell r="BJ43">
            <v>1.1000000000000001</v>
          </cell>
          <cell r="BK43">
            <v>1.1000000000000001</v>
          </cell>
          <cell r="BL43">
            <v>1.1000000000000001</v>
          </cell>
          <cell r="BM43">
            <v>1.1000000000000001</v>
          </cell>
          <cell r="BN43">
            <v>1.1000000000000001</v>
          </cell>
          <cell r="BO43">
            <v>1.1000000000000001</v>
          </cell>
          <cell r="BP43">
            <v>1.1000000000000001</v>
          </cell>
          <cell r="BQ43">
            <v>0.95</v>
          </cell>
          <cell r="BR43">
            <v>0.95</v>
          </cell>
          <cell r="BS43">
            <v>0.95</v>
          </cell>
          <cell r="BT43">
            <v>0.95</v>
          </cell>
          <cell r="BU43">
            <v>0.95</v>
          </cell>
          <cell r="BV43">
            <v>0.95</v>
          </cell>
          <cell r="BW43">
            <v>0.95</v>
          </cell>
          <cell r="BX43">
            <v>0.95</v>
          </cell>
          <cell r="BY43">
            <v>0.95</v>
          </cell>
          <cell r="BZ43">
            <v>0.95</v>
          </cell>
          <cell r="CA43">
            <v>0.95</v>
          </cell>
          <cell r="CB43">
            <v>0.95</v>
          </cell>
          <cell r="CC43">
            <v>0.95</v>
          </cell>
          <cell r="CD43">
            <v>0.95</v>
          </cell>
          <cell r="CE43">
            <v>0.95</v>
          </cell>
          <cell r="CF43">
            <v>0.95</v>
          </cell>
          <cell r="CG43">
            <v>0.95</v>
          </cell>
          <cell r="CH43">
            <v>0.95</v>
          </cell>
          <cell r="CI43">
            <v>0.95</v>
          </cell>
          <cell r="CJ43">
            <v>0.95</v>
          </cell>
          <cell r="CK43">
            <v>0.95</v>
          </cell>
          <cell r="CL43">
            <v>0.95</v>
          </cell>
        </row>
        <row r="44">
          <cell r="A44" t="str">
            <v>SOFT</v>
          </cell>
          <cell r="B44">
            <v>0</v>
          </cell>
          <cell r="C44">
            <v>1</v>
          </cell>
          <cell r="D44">
            <v>1</v>
          </cell>
          <cell r="E44">
            <v>1</v>
          </cell>
          <cell r="F44">
            <v>1</v>
          </cell>
          <cell r="G44">
            <v>1</v>
          </cell>
          <cell r="H44">
            <v>1</v>
          </cell>
          <cell r="I44">
            <v>1</v>
          </cell>
          <cell r="J44">
            <v>1</v>
          </cell>
          <cell r="K44">
            <v>1</v>
          </cell>
          <cell r="L44">
            <v>1</v>
          </cell>
          <cell r="M44">
            <v>1</v>
          </cell>
          <cell r="N44">
            <v>1</v>
          </cell>
          <cell r="O44">
            <v>1</v>
          </cell>
          <cell r="P44">
            <v>1</v>
          </cell>
          <cell r="Q44">
            <v>1</v>
          </cell>
          <cell r="R44">
            <v>1</v>
          </cell>
          <cell r="S44">
            <v>1</v>
          </cell>
          <cell r="T44">
            <v>1</v>
          </cell>
          <cell r="U44">
            <v>1</v>
          </cell>
          <cell r="V44">
            <v>1</v>
          </cell>
          <cell r="W44">
            <v>1</v>
          </cell>
          <cell r="X44">
            <v>1</v>
          </cell>
          <cell r="Y44">
            <v>1.2</v>
          </cell>
          <cell r="Z44">
            <v>1.2</v>
          </cell>
          <cell r="AA44">
            <v>1.2</v>
          </cell>
          <cell r="AB44">
            <v>1.2</v>
          </cell>
          <cell r="AC44">
            <v>1.2</v>
          </cell>
          <cell r="AD44">
            <v>1.2</v>
          </cell>
          <cell r="AE44">
            <v>1.2</v>
          </cell>
          <cell r="AF44">
            <v>1.2</v>
          </cell>
          <cell r="AG44">
            <v>1.2</v>
          </cell>
          <cell r="AH44">
            <v>1.2</v>
          </cell>
          <cell r="AI44">
            <v>1.2</v>
          </cell>
          <cell r="AJ44">
            <v>1.2</v>
          </cell>
          <cell r="AK44">
            <v>1.2</v>
          </cell>
          <cell r="AL44">
            <v>1.2</v>
          </cell>
          <cell r="AM44">
            <v>1.2</v>
          </cell>
          <cell r="AN44">
            <v>1.2</v>
          </cell>
          <cell r="AO44">
            <v>1.2</v>
          </cell>
          <cell r="AP44">
            <v>1.2</v>
          </cell>
          <cell r="AQ44">
            <v>1.2</v>
          </cell>
          <cell r="AR44">
            <v>1.2</v>
          </cell>
          <cell r="AS44">
            <v>1.2</v>
          </cell>
          <cell r="AT44">
            <v>1.2</v>
          </cell>
          <cell r="AU44">
            <v>1.1000000000000001</v>
          </cell>
          <cell r="AV44">
            <v>1.1000000000000001</v>
          </cell>
          <cell r="AW44">
            <v>1.1000000000000001</v>
          </cell>
          <cell r="AX44">
            <v>1.1000000000000001</v>
          </cell>
          <cell r="AY44">
            <v>1.1000000000000001</v>
          </cell>
          <cell r="AZ44">
            <v>1.1000000000000001</v>
          </cell>
          <cell r="BA44">
            <v>1.1000000000000001</v>
          </cell>
          <cell r="BB44">
            <v>1.1000000000000001</v>
          </cell>
          <cell r="BC44">
            <v>1.1000000000000001</v>
          </cell>
          <cell r="BD44">
            <v>1.1000000000000001</v>
          </cell>
          <cell r="BE44">
            <v>1.1000000000000001</v>
          </cell>
          <cell r="BF44">
            <v>1.1000000000000001</v>
          </cell>
          <cell r="BG44">
            <v>1.1000000000000001</v>
          </cell>
          <cell r="BH44">
            <v>1.1000000000000001</v>
          </cell>
          <cell r="BI44">
            <v>1.1000000000000001</v>
          </cell>
          <cell r="BJ44">
            <v>1.1000000000000001</v>
          </cell>
          <cell r="BK44">
            <v>1.1000000000000001</v>
          </cell>
          <cell r="BL44">
            <v>1.1000000000000001</v>
          </cell>
          <cell r="BM44">
            <v>1.1000000000000001</v>
          </cell>
          <cell r="BN44">
            <v>1.1000000000000001</v>
          </cell>
          <cell r="BO44">
            <v>1.1000000000000001</v>
          </cell>
          <cell r="BP44">
            <v>1.1000000000000001</v>
          </cell>
          <cell r="BQ44">
            <v>0.95</v>
          </cell>
          <cell r="BR44">
            <v>0.95</v>
          </cell>
          <cell r="BS44">
            <v>0.95</v>
          </cell>
          <cell r="BT44">
            <v>0.95</v>
          </cell>
          <cell r="BU44">
            <v>0.95</v>
          </cell>
          <cell r="BV44">
            <v>0.95</v>
          </cell>
          <cell r="BW44">
            <v>0.95</v>
          </cell>
          <cell r="BX44">
            <v>0.95</v>
          </cell>
          <cell r="BY44">
            <v>0.95</v>
          </cell>
          <cell r="BZ44">
            <v>0.95</v>
          </cell>
          <cell r="CA44">
            <v>0.95</v>
          </cell>
          <cell r="CB44">
            <v>0.95</v>
          </cell>
          <cell r="CC44">
            <v>0.95</v>
          </cell>
          <cell r="CD44">
            <v>0.95</v>
          </cell>
          <cell r="CE44">
            <v>0.95</v>
          </cell>
          <cell r="CF44">
            <v>0.95</v>
          </cell>
          <cell r="CG44">
            <v>0.95</v>
          </cell>
          <cell r="CH44">
            <v>0.95</v>
          </cell>
          <cell r="CI44">
            <v>0.95</v>
          </cell>
          <cell r="CJ44">
            <v>0.95</v>
          </cell>
          <cell r="CK44">
            <v>0.95</v>
          </cell>
          <cell r="CL44">
            <v>0.95</v>
          </cell>
        </row>
        <row r="45">
          <cell r="A45" t="str">
            <v>SOFT</v>
          </cell>
          <cell r="B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row>
        <row r="46">
          <cell r="A46" t="str">
            <v>SOFT</v>
          </cell>
          <cell r="B46">
            <v>0</v>
          </cell>
          <cell r="E46">
            <v>0</v>
          </cell>
          <cell r="F46">
            <v>0</v>
          </cell>
          <cell r="G46">
            <v>0</v>
          </cell>
          <cell r="H46">
            <v>0</v>
          </cell>
          <cell r="I46">
            <v>0</v>
          </cell>
          <cell r="AA46">
            <v>0</v>
          </cell>
          <cell r="AB46">
            <v>0</v>
          </cell>
          <cell r="AC46">
            <v>0</v>
          </cell>
          <cell r="AD46">
            <v>0</v>
          </cell>
          <cell r="AE46">
            <v>0</v>
          </cell>
          <cell r="AV46">
            <v>0</v>
          </cell>
          <cell r="AW46">
            <v>0</v>
          </cell>
          <cell r="AX46">
            <v>0</v>
          </cell>
          <cell r="AY46">
            <v>0</v>
          </cell>
          <cell r="AZ46">
            <v>0</v>
          </cell>
          <cell r="BA46">
            <v>0</v>
          </cell>
          <cell r="BS46">
            <v>0</v>
          </cell>
          <cell r="BT46">
            <v>0</v>
          </cell>
          <cell r="BU46">
            <v>0</v>
          </cell>
          <cell r="BV46">
            <v>0</v>
          </cell>
          <cell r="BW46">
            <v>0</v>
          </cell>
        </row>
        <row r="47">
          <cell r="A47" t="str">
            <v>SOFT</v>
          </cell>
          <cell r="B47">
            <v>0</v>
          </cell>
          <cell r="E47">
            <v>0</v>
          </cell>
          <cell r="F47">
            <v>0</v>
          </cell>
          <cell r="G47">
            <v>0</v>
          </cell>
          <cell r="H47">
            <v>0</v>
          </cell>
          <cell r="I47">
            <v>0</v>
          </cell>
          <cell r="AA47">
            <v>0</v>
          </cell>
          <cell r="AB47">
            <v>0</v>
          </cell>
          <cell r="AC47">
            <v>0</v>
          </cell>
          <cell r="AD47">
            <v>0</v>
          </cell>
          <cell r="AE47">
            <v>0</v>
          </cell>
          <cell r="AV47">
            <v>0</v>
          </cell>
          <cell r="AW47">
            <v>0</v>
          </cell>
          <cell r="AX47">
            <v>0</v>
          </cell>
          <cell r="AY47">
            <v>0</v>
          </cell>
          <cell r="AZ47">
            <v>0</v>
          </cell>
          <cell r="BA47">
            <v>0</v>
          </cell>
          <cell r="BS47">
            <v>0</v>
          </cell>
          <cell r="BT47">
            <v>0</v>
          </cell>
          <cell r="BU47">
            <v>0</v>
          </cell>
          <cell r="BV47">
            <v>0</v>
          </cell>
          <cell r="BW47">
            <v>0</v>
          </cell>
        </row>
        <row r="48">
          <cell r="A48" t="str">
            <v>SOFT</v>
          </cell>
          <cell r="B48">
            <v>0</v>
          </cell>
          <cell r="E48">
            <v>0</v>
          </cell>
          <cell r="F48">
            <v>0</v>
          </cell>
          <cell r="G48">
            <v>0</v>
          </cell>
          <cell r="H48">
            <v>0</v>
          </cell>
          <cell r="I48">
            <v>0</v>
          </cell>
          <cell r="AA48">
            <v>0</v>
          </cell>
          <cell r="AB48">
            <v>0</v>
          </cell>
          <cell r="AC48">
            <v>0</v>
          </cell>
          <cell r="AD48">
            <v>0</v>
          </cell>
          <cell r="AE48">
            <v>0</v>
          </cell>
          <cell r="AV48">
            <v>0</v>
          </cell>
          <cell r="AW48">
            <v>0</v>
          </cell>
          <cell r="AX48">
            <v>0</v>
          </cell>
          <cell r="AY48">
            <v>0</v>
          </cell>
          <cell r="AZ48">
            <v>0</v>
          </cell>
          <cell r="BA48">
            <v>0</v>
          </cell>
          <cell r="BS48">
            <v>0</v>
          </cell>
          <cell r="BT48">
            <v>0</v>
          </cell>
          <cell r="BU48">
            <v>0</v>
          </cell>
          <cell r="BV48">
            <v>0</v>
          </cell>
          <cell r="BW48">
            <v>0</v>
          </cell>
        </row>
        <row r="49">
          <cell r="A49" t="str">
            <v>SOFT</v>
          </cell>
          <cell r="B49">
            <v>0</v>
          </cell>
          <cell r="E49">
            <v>0</v>
          </cell>
          <cell r="F49">
            <v>0</v>
          </cell>
          <cell r="G49">
            <v>0</v>
          </cell>
          <cell r="H49">
            <v>0</v>
          </cell>
          <cell r="I49">
            <v>0</v>
          </cell>
          <cell r="AA49">
            <v>0</v>
          </cell>
          <cell r="AB49">
            <v>0</v>
          </cell>
          <cell r="AC49">
            <v>0</v>
          </cell>
          <cell r="AD49">
            <v>0</v>
          </cell>
          <cell r="AE49">
            <v>0</v>
          </cell>
          <cell r="AV49">
            <v>0</v>
          </cell>
          <cell r="AW49">
            <v>0</v>
          </cell>
          <cell r="AX49">
            <v>0</v>
          </cell>
          <cell r="AY49">
            <v>0</v>
          </cell>
          <cell r="AZ49">
            <v>0</v>
          </cell>
          <cell r="BA49">
            <v>0</v>
          </cell>
          <cell r="BS49">
            <v>0</v>
          </cell>
          <cell r="BT49">
            <v>0</v>
          </cell>
          <cell r="BU49">
            <v>0</v>
          </cell>
          <cell r="BV49">
            <v>0</v>
          </cell>
          <cell r="BW49">
            <v>0</v>
          </cell>
        </row>
        <row r="50">
          <cell r="A50" t="str">
            <v>SOFT</v>
          </cell>
          <cell r="B50">
            <v>0</v>
          </cell>
          <cell r="E50">
            <v>0</v>
          </cell>
          <cell r="F50">
            <v>0</v>
          </cell>
          <cell r="G50">
            <v>0</v>
          </cell>
          <cell r="H50">
            <v>0</v>
          </cell>
          <cell r="I50">
            <v>0</v>
          </cell>
          <cell r="AA50">
            <v>0</v>
          </cell>
          <cell r="AB50">
            <v>0</v>
          </cell>
          <cell r="AC50">
            <v>0</v>
          </cell>
          <cell r="AD50">
            <v>0</v>
          </cell>
          <cell r="AE50">
            <v>0</v>
          </cell>
          <cell r="AV50">
            <v>0</v>
          </cell>
          <cell r="AW50">
            <v>0</v>
          </cell>
          <cell r="AX50">
            <v>0</v>
          </cell>
          <cell r="AY50">
            <v>0</v>
          </cell>
          <cell r="AZ50">
            <v>0</v>
          </cell>
          <cell r="BA50">
            <v>0</v>
          </cell>
          <cell r="BS50">
            <v>0</v>
          </cell>
          <cell r="BT50">
            <v>0</v>
          </cell>
          <cell r="BU50">
            <v>0</v>
          </cell>
          <cell r="BV50">
            <v>0</v>
          </cell>
          <cell r="BW50">
            <v>0</v>
          </cell>
        </row>
        <row r="51">
          <cell r="A51" t="str">
            <v>SOFT</v>
          </cell>
          <cell r="B51">
            <v>0</v>
          </cell>
          <cell r="E51">
            <v>0</v>
          </cell>
          <cell r="F51">
            <v>0</v>
          </cell>
          <cell r="G51">
            <v>0</v>
          </cell>
          <cell r="H51">
            <v>0</v>
          </cell>
          <cell r="I51">
            <v>0</v>
          </cell>
          <cell r="AA51">
            <v>0</v>
          </cell>
          <cell r="AB51">
            <v>0</v>
          </cell>
          <cell r="AC51">
            <v>0</v>
          </cell>
          <cell r="AD51">
            <v>0</v>
          </cell>
          <cell r="AE51">
            <v>0</v>
          </cell>
          <cell r="AV51">
            <v>0</v>
          </cell>
          <cell r="AW51">
            <v>0</v>
          </cell>
          <cell r="AX51">
            <v>0</v>
          </cell>
          <cell r="AY51">
            <v>0</v>
          </cell>
          <cell r="AZ51">
            <v>0</v>
          </cell>
          <cell r="BA51">
            <v>0</v>
          </cell>
          <cell r="BS51">
            <v>0</v>
          </cell>
          <cell r="BT51">
            <v>0</v>
          </cell>
          <cell r="BU51">
            <v>0</v>
          </cell>
          <cell r="BV51">
            <v>0</v>
          </cell>
          <cell r="BW51">
            <v>0</v>
          </cell>
        </row>
        <row r="52">
          <cell r="A52" t="str">
            <v>SOFT</v>
          </cell>
          <cell r="B52">
            <v>0</v>
          </cell>
          <cell r="E52">
            <v>0</v>
          </cell>
          <cell r="F52">
            <v>0</v>
          </cell>
          <cell r="G52">
            <v>0</v>
          </cell>
          <cell r="H52">
            <v>0</v>
          </cell>
          <cell r="I52">
            <v>0</v>
          </cell>
          <cell r="AA52">
            <v>0</v>
          </cell>
          <cell r="AB52">
            <v>0</v>
          </cell>
          <cell r="AC52">
            <v>0</v>
          </cell>
          <cell r="AD52">
            <v>0</v>
          </cell>
          <cell r="AE52">
            <v>0</v>
          </cell>
          <cell r="AV52">
            <v>0</v>
          </cell>
          <cell r="AW52">
            <v>0</v>
          </cell>
          <cell r="AX52">
            <v>0</v>
          </cell>
          <cell r="AY52">
            <v>0</v>
          </cell>
          <cell r="AZ52">
            <v>0</v>
          </cell>
          <cell r="BA52">
            <v>0</v>
          </cell>
          <cell r="BS52">
            <v>0</v>
          </cell>
          <cell r="BT52">
            <v>0</v>
          </cell>
          <cell r="BU52">
            <v>0</v>
          </cell>
          <cell r="BV52">
            <v>0</v>
          </cell>
          <cell r="BW52">
            <v>0</v>
          </cell>
        </row>
        <row r="53">
          <cell r="A53" t="str">
            <v>SOFT</v>
          </cell>
          <cell r="B53">
            <v>0</v>
          </cell>
          <cell r="E53">
            <v>0</v>
          </cell>
          <cell r="F53">
            <v>0</v>
          </cell>
          <cell r="G53">
            <v>0</v>
          </cell>
          <cell r="H53">
            <v>0</v>
          </cell>
          <cell r="I53">
            <v>0</v>
          </cell>
          <cell r="AA53">
            <v>0</v>
          </cell>
          <cell r="AB53">
            <v>0</v>
          </cell>
          <cell r="AC53">
            <v>0</v>
          </cell>
          <cell r="AD53">
            <v>0</v>
          </cell>
          <cell r="AE53">
            <v>0</v>
          </cell>
          <cell r="AV53">
            <v>0</v>
          </cell>
          <cell r="AW53">
            <v>0</v>
          </cell>
          <cell r="AX53">
            <v>0</v>
          </cell>
          <cell r="AY53">
            <v>0</v>
          </cell>
          <cell r="AZ53">
            <v>0</v>
          </cell>
          <cell r="BA53">
            <v>0</v>
          </cell>
          <cell r="BS53">
            <v>0</v>
          </cell>
          <cell r="BT53">
            <v>0</v>
          </cell>
          <cell r="BU53">
            <v>0</v>
          </cell>
          <cell r="BV53">
            <v>0</v>
          </cell>
          <cell r="BW53">
            <v>0</v>
          </cell>
        </row>
        <row r="54">
          <cell r="A54" t="str">
            <v>SOFT</v>
          </cell>
          <cell r="B54">
            <v>0</v>
          </cell>
          <cell r="E54">
            <v>0</v>
          </cell>
          <cell r="F54">
            <v>0</v>
          </cell>
          <cell r="G54">
            <v>0</v>
          </cell>
          <cell r="H54">
            <v>0</v>
          </cell>
          <cell r="I54">
            <v>0</v>
          </cell>
          <cell r="AA54">
            <v>0</v>
          </cell>
          <cell r="AB54">
            <v>0</v>
          </cell>
          <cell r="AC54">
            <v>0</v>
          </cell>
          <cell r="AD54">
            <v>0</v>
          </cell>
          <cell r="AE54">
            <v>0</v>
          </cell>
          <cell r="AV54">
            <v>0</v>
          </cell>
          <cell r="AW54">
            <v>0</v>
          </cell>
          <cell r="AX54">
            <v>0</v>
          </cell>
          <cell r="AY54">
            <v>0</v>
          </cell>
          <cell r="AZ54">
            <v>0</v>
          </cell>
          <cell r="BA54">
            <v>0</v>
          </cell>
          <cell r="BS54">
            <v>0</v>
          </cell>
          <cell r="BT54">
            <v>0</v>
          </cell>
          <cell r="BU54">
            <v>0</v>
          </cell>
          <cell r="BV54">
            <v>0</v>
          </cell>
          <cell r="BW54">
            <v>0</v>
          </cell>
        </row>
        <row r="55">
          <cell r="A55" t="str">
            <v>SOFT</v>
          </cell>
          <cell r="B55">
            <v>0</v>
          </cell>
          <cell r="E55">
            <v>0</v>
          </cell>
          <cell r="F55">
            <v>0</v>
          </cell>
          <cell r="G55">
            <v>0</v>
          </cell>
          <cell r="H55">
            <v>0</v>
          </cell>
          <cell r="I55">
            <v>0</v>
          </cell>
          <cell r="AA55">
            <v>0</v>
          </cell>
          <cell r="AB55">
            <v>0</v>
          </cell>
          <cell r="AC55">
            <v>0</v>
          </cell>
          <cell r="AD55">
            <v>0</v>
          </cell>
          <cell r="AE55">
            <v>0</v>
          </cell>
          <cell r="AV55">
            <v>0</v>
          </cell>
          <cell r="AW55">
            <v>0</v>
          </cell>
          <cell r="AX55">
            <v>0</v>
          </cell>
          <cell r="AY55">
            <v>0</v>
          </cell>
          <cell r="AZ55">
            <v>0</v>
          </cell>
          <cell r="BA55">
            <v>0</v>
          </cell>
          <cell r="BS55">
            <v>0</v>
          </cell>
          <cell r="BT55">
            <v>0</v>
          </cell>
          <cell r="BU55">
            <v>0</v>
          </cell>
          <cell r="BV55">
            <v>0</v>
          </cell>
          <cell r="BW55">
            <v>0</v>
          </cell>
        </row>
        <row r="56">
          <cell r="A56" t="str">
            <v>SOFT</v>
          </cell>
          <cell r="B56">
            <v>0</v>
          </cell>
          <cell r="E56">
            <v>0</v>
          </cell>
          <cell r="F56">
            <v>0</v>
          </cell>
          <cell r="G56">
            <v>0</v>
          </cell>
          <cell r="H56">
            <v>0</v>
          </cell>
          <cell r="I56">
            <v>0</v>
          </cell>
          <cell r="AA56">
            <v>0</v>
          </cell>
          <cell r="AB56">
            <v>0</v>
          </cell>
          <cell r="AC56">
            <v>0</v>
          </cell>
          <cell r="AD56">
            <v>0</v>
          </cell>
          <cell r="AE56">
            <v>0</v>
          </cell>
          <cell r="AV56">
            <v>0</v>
          </cell>
          <cell r="AW56">
            <v>0</v>
          </cell>
          <cell r="AX56">
            <v>0</v>
          </cell>
          <cell r="AY56">
            <v>0</v>
          </cell>
          <cell r="AZ56">
            <v>0</v>
          </cell>
          <cell r="BA56">
            <v>0</v>
          </cell>
          <cell r="BS56">
            <v>0</v>
          </cell>
          <cell r="BT56">
            <v>0</v>
          </cell>
          <cell r="BU56">
            <v>0</v>
          </cell>
          <cell r="BV56">
            <v>0</v>
          </cell>
          <cell r="BW56">
            <v>0</v>
          </cell>
        </row>
        <row r="57">
          <cell r="A57" t="str">
            <v>SOFT</v>
          </cell>
          <cell r="B57">
            <v>0</v>
          </cell>
          <cell r="E57">
            <v>0</v>
          </cell>
          <cell r="F57">
            <v>0</v>
          </cell>
          <cell r="G57">
            <v>0</v>
          </cell>
          <cell r="H57">
            <v>0</v>
          </cell>
          <cell r="I57">
            <v>0</v>
          </cell>
          <cell r="AA57">
            <v>0</v>
          </cell>
          <cell r="AB57">
            <v>0</v>
          </cell>
          <cell r="AC57">
            <v>0</v>
          </cell>
          <cell r="AD57">
            <v>0</v>
          </cell>
          <cell r="AE57">
            <v>0</v>
          </cell>
          <cell r="AV57">
            <v>0</v>
          </cell>
          <cell r="AW57">
            <v>0</v>
          </cell>
          <cell r="AX57">
            <v>0</v>
          </cell>
          <cell r="AY57">
            <v>0</v>
          </cell>
          <cell r="AZ57">
            <v>0</v>
          </cell>
          <cell r="BA57">
            <v>0</v>
          </cell>
          <cell r="BS57">
            <v>0</v>
          </cell>
          <cell r="BT57">
            <v>0</v>
          </cell>
          <cell r="BU57">
            <v>0</v>
          </cell>
          <cell r="BV57">
            <v>0</v>
          </cell>
          <cell r="BW57">
            <v>0</v>
          </cell>
        </row>
        <row r="58">
          <cell r="A58" t="str">
            <v>SOFT</v>
          </cell>
          <cell r="B58">
            <v>0</v>
          </cell>
          <cell r="E58">
            <v>0</v>
          </cell>
          <cell r="F58">
            <v>0</v>
          </cell>
          <cell r="G58">
            <v>0</v>
          </cell>
          <cell r="H58">
            <v>0</v>
          </cell>
          <cell r="I58">
            <v>0</v>
          </cell>
          <cell r="AA58">
            <v>0</v>
          </cell>
          <cell r="AB58">
            <v>0</v>
          </cell>
          <cell r="AC58">
            <v>0</v>
          </cell>
          <cell r="AD58">
            <v>0</v>
          </cell>
          <cell r="AE58">
            <v>0</v>
          </cell>
          <cell r="AV58">
            <v>0</v>
          </cell>
          <cell r="AW58">
            <v>0</v>
          </cell>
          <cell r="AX58">
            <v>0</v>
          </cell>
          <cell r="AY58">
            <v>0</v>
          </cell>
          <cell r="AZ58">
            <v>0</v>
          </cell>
          <cell r="BA58">
            <v>0</v>
          </cell>
          <cell r="BS58">
            <v>0</v>
          </cell>
          <cell r="BT58">
            <v>0</v>
          </cell>
          <cell r="BU58">
            <v>0</v>
          </cell>
          <cell r="BV58">
            <v>0</v>
          </cell>
          <cell r="BW58">
            <v>0</v>
          </cell>
        </row>
        <row r="59">
          <cell r="A59" t="str">
            <v>SOFT</v>
          </cell>
          <cell r="B59">
            <v>0</v>
          </cell>
          <cell r="E59">
            <v>0</v>
          </cell>
          <cell r="F59">
            <v>0</v>
          </cell>
          <cell r="G59">
            <v>0</v>
          </cell>
          <cell r="H59">
            <v>0</v>
          </cell>
          <cell r="I59">
            <v>0</v>
          </cell>
          <cell r="AA59">
            <v>0</v>
          </cell>
          <cell r="AB59">
            <v>0</v>
          </cell>
          <cell r="AC59">
            <v>0</v>
          </cell>
          <cell r="AD59">
            <v>0</v>
          </cell>
          <cell r="AE59">
            <v>0</v>
          </cell>
          <cell r="AV59">
            <v>0</v>
          </cell>
          <cell r="AW59">
            <v>0</v>
          </cell>
          <cell r="AX59">
            <v>0</v>
          </cell>
          <cell r="AY59">
            <v>0</v>
          </cell>
          <cell r="AZ59">
            <v>0</v>
          </cell>
          <cell r="BA59">
            <v>0</v>
          </cell>
          <cell r="BS59">
            <v>0</v>
          </cell>
          <cell r="BT59">
            <v>0</v>
          </cell>
          <cell r="BU59">
            <v>0</v>
          </cell>
          <cell r="BV59">
            <v>0</v>
          </cell>
          <cell r="BW59">
            <v>0</v>
          </cell>
        </row>
        <row r="60">
          <cell r="A60" t="str">
            <v>SOFT</v>
          </cell>
          <cell r="B60">
            <v>0</v>
          </cell>
          <cell r="E60">
            <v>0</v>
          </cell>
          <cell r="F60">
            <v>0</v>
          </cell>
          <cell r="G60">
            <v>0</v>
          </cell>
          <cell r="H60">
            <v>0</v>
          </cell>
          <cell r="I60">
            <v>0</v>
          </cell>
          <cell r="AA60">
            <v>0</v>
          </cell>
          <cell r="AB60">
            <v>0</v>
          </cell>
          <cell r="AC60">
            <v>0</v>
          </cell>
          <cell r="AD60">
            <v>0</v>
          </cell>
          <cell r="AE60">
            <v>0</v>
          </cell>
          <cell r="AV60">
            <v>0</v>
          </cell>
          <cell r="AW60">
            <v>0</v>
          </cell>
          <cell r="AX60">
            <v>0</v>
          </cell>
          <cell r="AY60">
            <v>0</v>
          </cell>
          <cell r="AZ60">
            <v>0</v>
          </cell>
          <cell r="BA60">
            <v>0</v>
          </cell>
          <cell r="BS60">
            <v>0</v>
          </cell>
          <cell r="BT60">
            <v>0</v>
          </cell>
          <cell r="BU60">
            <v>0</v>
          </cell>
          <cell r="BV60">
            <v>0</v>
          </cell>
          <cell r="BW60">
            <v>0</v>
          </cell>
        </row>
      </sheetData>
      <sheetData sheetId="10">
        <row r="10">
          <cell r="A10" t="str">
            <v>HARDHardware Maintenance</v>
          </cell>
          <cell r="B10" t="str">
            <v>Hardware Maintenance</v>
          </cell>
          <cell r="C10">
            <v>1</v>
          </cell>
          <cell r="D10">
            <v>1</v>
          </cell>
          <cell r="E10">
            <v>1</v>
          </cell>
          <cell r="F10">
            <v>1</v>
          </cell>
          <cell r="G10">
            <v>1</v>
          </cell>
          <cell r="H10">
            <v>1</v>
          </cell>
          <cell r="I10">
            <v>1</v>
          </cell>
          <cell r="J10">
            <v>1</v>
          </cell>
          <cell r="K10">
            <v>1</v>
          </cell>
          <cell r="L10">
            <v>1</v>
          </cell>
          <cell r="M10">
            <v>1</v>
          </cell>
          <cell r="N10">
            <v>1</v>
          </cell>
          <cell r="O10">
            <v>1</v>
          </cell>
          <cell r="P10">
            <v>1</v>
          </cell>
          <cell r="Q10">
            <v>1</v>
          </cell>
          <cell r="R10">
            <v>1</v>
          </cell>
          <cell r="S10">
            <v>1</v>
          </cell>
          <cell r="T10">
            <v>1</v>
          </cell>
          <cell r="U10">
            <v>1</v>
          </cell>
          <cell r="V10">
            <v>1</v>
          </cell>
          <cell r="W10">
            <v>1</v>
          </cell>
          <cell r="X10">
            <v>1</v>
          </cell>
          <cell r="Y10">
            <v>0.8</v>
          </cell>
          <cell r="Z10">
            <v>0.8</v>
          </cell>
          <cell r="AA10">
            <v>0.8</v>
          </cell>
          <cell r="AB10">
            <v>0.8</v>
          </cell>
          <cell r="AC10">
            <v>0.8</v>
          </cell>
          <cell r="AD10">
            <v>0.8</v>
          </cell>
          <cell r="AE10">
            <v>0.8</v>
          </cell>
          <cell r="AF10">
            <v>0.8</v>
          </cell>
          <cell r="AG10">
            <v>0.8</v>
          </cell>
          <cell r="AH10">
            <v>0.8</v>
          </cell>
          <cell r="AI10">
            <v>0.8</v>
          </cell>
          <cell r="AJ10">
            <v>0.8</v>
          </cell>
          <cell r="AK10">
            <v>0.8</v>
          </cell>
          <cell r="AL10">
            <v>0.8</v>
          </cell>
          <cell r="AM10">
            <v>0.8</v>
          </cell>
          <cell r="AN10">
            <v>0.8</v>
          </cell>
          <cell r="AO10">
            <v>0.8</v>
          </cell>
          <cell r="AP10">
            <v>0.8</v>
          </cell>
          <cell r="AQ10">
            <v>0.8</v>
          </cell>
          <cell r="AR10">
            <v>0.8</v>
          </cell>
          <cell r="AS10">
            <v>0.8</v>
          </cell>
          <cell r="AT10">
            <v>0.8</v>
          </cell>
          <cell r="AU10">
            <v>0.9</v>
          </cell>
          <cell r="AV10">
            <v>0.9</v>
          </cell>
          <cell r="AW10">
            <v>0.9</v>
          </cell>
          <cell r="AX10">
            <v>0.9</v>
          </cell>
          <cell r="AY10">
            <v>0.9</v>
          </cell>
          <cell r="AZ10">
            <v>0.9</v>
          </cell>
          <cell r="BA10">
            <v>0.9</v>
          </cell>
          <cell r="BB10">
            <v>0.9</v>
          </cell>
          <cell r="BC10">
            <v>0.9</v>
          </cell>
          <cell r="BD10">
            <v>0.9</v>
          </cell>
          <cell r="BE10">
            <v>0.9</v>
          </cell>
          <cell r="BF10">
            <v>0.9</v>
          </cell>
          <cell r="BG10">
            <v>0.9</v>
          </cell>
          <cell r="BH10">
            <v>0.9</v>
          </cell>
          <cell r="BI10">
            <v>0.9</v>
          </cell>
          <cell r="BJ10">
            <v>0.9</v>
          </cell>
          <cell r="BK10">
            <v>0.9</v>
          </cell>
          <cell r="BL10">
            <v>0.9</v>
          </cell>
          <cell r="BM10">
            <v>0.9</v>
          </cell>
          <cell r="BN10">
            <v>0.9</v>
          </cell>
          <cell r="BO10">
            <v>0.9</v>
          </cell>
          <cell r="BP10">
            <v>0.9</v>
          </cell>
          <cell r="BQ10">
            <v>1.1499999999999999</v>
          </cell>
          <cell r="BR10">
            <v>1.1499999999999999</v>
          </cell>
          <cell r="BS10">
            <v>1.1499999999999999</v>
          </cell>
          <cell r="BT10">
            <v>1.1499999999999999</v>
          </cell>
          <cell r="BU10">
            <v>1.1499999999999999</v>
          </cell>
          <cell r="BV10">
            <v>1.1499999999999999</v>
          </cell>
          <cell r="BW10">
            <v>1.1499999999999999</v>
          </cell>
          <cell r="BX10">
            <v>1.1499999999999999</v>
          </cell>
          <cell r="BY10">
            <v>1.1499999999999999</v>
          </cell>
          <cell r="BZ10">
            <v>1.1499999999999999</v>
          </cell>
          <cell r="CA10">
            <v>1.1499999999999999</v>
          </cell>
          <cell r="CB10">
            <v>1.1499999999999999</v>
          </cell>
          <cell r="CC10">
            <v>1.1499999999999999</v>
          </cell>
          <cell r="CD10">
            <v>1.1499999999999999</v>
          </cell>
          <cell r="CE10">
            <v>1.1499999999999999</v>
          </cell>
          <cell r="CF10">
            <v>1.1499999999999999</v>
          </cell>
          <cell r="CG10">
            <v>1.1499999999999999</v>
          </cell>
          <cell r="CH10">
            <v>1.1499999999999999</v>
          </cell>
          <cell r="CI10">
            <v>1.1499999999999999</v>
          </cell>
          <cell r="CJ10">
            <v>1.1499999999999999</v>
          </cell>
          <cell r="CK10">
            <v>1.1499999999999999</v>
          </cell>
          <cell r="CL10">
            <v>1.1499999999999999</v>
          </cell>
        </row>
        <row r="11">
          <cell r="A11" t="str">
            <v>HARDSoftware Maintenance</v>
          </cell>
          <cell r="B11" t="str">
            <v>Software Maintenance</v>
          </cell>
          <cell r="C11">
            <v>1</v>
          </cell>
          <cell r="D11">
            <v>1</v>
          </cell>
          <cell r="E11">
            <v>1</v>
          </cell>
          <cell r="F11">
            <v>1</v>
          </cell>
          <cell r="G11">
            <v>1</v>
          </cell>
          <cell r="H11">
            <v>1</v>
          </cell>
          <cell r="I11">
            <v>1</v>
          </cell>
          <cell r="J11">
            <v>1</v>
          </cell>
          <cell r="K11">
            <v>1</v>
          </cell>
          <cell r="L11">
            <v>1</v>
          </cell>
          <cell r="M11">
            <v>1</v>
          </cell>
          <cell r="N11">
            <v>1</v>
          </cell>
          <cell r="O11">
            <v>1</v>
          </cell>
          <cell r="P11">
            <v>1</v>
          </cell>
          <cell r="Q11">
            <v>1</v>
          </cell>
          <cell r="R11">
            <v>1</v>
          </cell>
          <cell r="S11">
            <v>1</v>
          </cell>
          <cell r="T11">
            <v>1</v>
          </cell>
          <cell r="U11">
            <v>1</v>
          </cell>
          <cell r="V11">
            <v>1</v>
          </cell>
          <cell r="W11">
            <v>1</v>
          </cell>
          <cell r="X11">
            <v>1</v>
          </cell>
          <cell r="Y11">
            <v>0.8</v>
          </cell>
          <cell r="Z11">
            <v>0.8</v>
          </cell>
          <cell r="AA11">
            <v>0.8</v>
          </cell>
          <cell r="AB11">
            <v>0.8</v>
          </cell>
          <cell r="AC11">
            <v>0.8</v>
          </cell>
          <cell r="AD11">
            <v>0.8</v>
          </cell>
          <cell r="AE11">
            <v>0.8</v>
          </cell>
          <cell r="AF11">
            <v>0.8</v>
          </cell>
          <cell r="AG11">
            <v>0.8</v>
          </cell>
          <cell r="AH11">
            <v>0.8</v>
          </cell>
          <cell r="AI11">
            <v>0.8</v>
          </cell>
          <cell r="AJ11">
            <v>0.8</v>
          </cell>
          <cell r="AK11">
            <v>0.8</v>
          </cell>
          <cell r="AL11">
            <v>0.8</v>
          </cell>
          <cell r="AM11">
            <v>0.8</v>
          </cell>
          <cell r="AN11">
            <v>0.8</v>
          </cell>
          <cell r="AO11">
            <v>0.8</v>
          </cell>
          <cell r="AP11">
            <v>0.8</v>
          </cell>
          <cell r="AQ11">
            <v>0.8</v>
          </cell>
          <cell r="AR11">
            <v>0.8</v>
          </cell>
          <cell r="AS11">
            <v>0.8</v>
          </cell>
          <cell r="AT11">
            <v>0.8</v>
          </cell>
          <cell r="AU11">
            <v>0.9</v>
          </cell>
          <cell r="AV11">
            <v>0.9</v>
          </cell>
          <cell r="AW11">
            <v>0.9</v>
          </cell>
          <cell r="AX11">
            <v>0.9</v>
          </cell>
          <cell r="AY11">
            <v>0.9</v>
          </cell>
          <cell r="AZ11">
            <v>0.9</v>
          </cell>
          <cell r="BA11">
            <v>0.9</v>
          </cell>
          <cell r="BB11">
            <v>0.9</v>
          </cell>
          <cell r="BC11">
            <v>0.9</v>
          </cell>
          <cell r="BD11">
            <v>0.9</v>
          </cell>
          <cell r="BE11">
            <v>0.9</v>
          </cell>
          <cell r="BF11">
            <v>0.9</v>
          </cell>
          <cell r="BG11">
            <v>0.9</v>
          </cell>
          <cell r="BH11">
            <v>0.9</v>
          </cell>
          <cell r="BI11">
            <v>0.9</v>
          </cell>
          <cell r="BJ11">
            <v>0.9</v>
          </cell>
          <cell r="BK11">
            <v>0.9</v>
          </cell>
          <cell r="BL11">
            <v>0.9</v>
          </cell>
          <cell r="BM11">
            <v>0.9</v>
          </cell>
          <cell r="BN11">
            <v>0.9</v>
          </cell>
          <cell r="BO11">
            <v>0.9</v>
          </cell>
          <cell r="BP11">
            <v>0.9</v>
          </cell>
          <cell r="BQ11">
            <v>1.1499999999999999</v>
          </cell>
          <cell r="BR11">
            <v>1.1499999999999999</v>
          </cell>
          <cell r="BS11">
            <v>1.1499999999999999</v>
          </cell>
          <cell r="BT11">
            <v>1.1499999999999999</v>
          </cell>
          <cell r="BU11">
            <v>1.1499999999999999</v>
          </cell>
          <cell r="BV11">
            <v>1.1499999999999999</v>
          </cell>
          <cell r="BW11">
            <v>1.1499999999999999</v>
          </cell>
          <cell r="BX11">
            <v>1.1499999999999999</v>
          </cell>
          <cell r="BY11">
            <v>1.1499999999999999</v>
          </cell>
          <cell r="BZ11">
            <v>1.1499999999999999</v>
          </cell>
          <cell r="CA11">
            <v>1.1499999999999999</v>
          </cell>
          <cell r="CB11">
            <v>1.1499999999999999</v>
          </cell>
          <cell r="CC11">
            <v>1.1499999999999999</v>
          </cell>
          <cell r="CD11">
            <v>1.1499999999999999</v>
          </cell>
          <cell r="CE11">
            <v>1.1499999999999999</v>
          </cell>
          <cell r="CF11">
            <v>1.1499999999999999</v>
          </cell>
          <cell r="CG11">
            <v>1.1499999999999999</v>
          </cell>
          <cell r="CH11">
            <v>1.1499999999999999</v>
          </cell>
          <cell r="CI11">
            <v>1.1499999999999999</v>
          </cell>
          <cell r="CJ11">
            <v>1.1499999999999999</v>
          </cell>
          <cell r="CK11">
            <v>1.1499999999999999</v>
          </cell>
          <cell r="CL11">
            <v>1.1499999999999999</v>
          </cell>
        </row>
        <row r="12">
          <cell r="A12" t="str">
            <v>HARDPAS Consulting Fees</v>
          </cell>
          <cell r="B12" t="str">
            <v>PAS Consulting Fees</v>
          </cell>
          <cell r="C12">
            <v>1</v>
          </cell>
          <cell r="D12">
            <v>1</v>
          </cell>
          <cell r="E12">
            <v>1</v>
          </cell>
          <cell r="F12">
            <v>1</v>
          </cell>
          <cell r="G12">
            <v>1</v>
          </cell>
          <cell r="H12">
            <v>1</v>
          </cell>
          <cell r="I12">
            <v>1</v>
          </cell>
          <cell r="J12">
            <v>1</v>
          </cell>
          <cell r="K12">
            <v>1</v>
          </cell>
          <cell r="L12">
            <v>1</v>
          </cell>
          <cell r="M12">
            <v>1</v>
          </cell>
          <cell r="N12">
            <v>1</v>
          </cell>
          <cell r="O12">
            <v>1</v>
          </cell>
          <cell r="P12">
            <v>1</v>
          </cell>
          <cell r="Q12">
            <v>1</v>
          </cell>
          <cell r="R12">
            <v>1</v>
          </cell>
          <cell r="S12">
            <v>1</v>
          </cell>
          <cell r="T12">
            <v>1</v>
          </cell>
          <cell r="U12">
            <v>1</v>
          </cell>
          <cell r="V12">
            <v>1</v>
          </cell>
          <cell r="W12">
            <v>1</v>
          </cell>
          <cell r="X12">
            <v>1</v>
          </cell>
          <cell r="Y12">
            <v>0.8</v>
          </cell>
          <cell r="Z12">
            <v>0.8</v>
          </cell>
          <cell r="AA12">
            <v>0.8</v>
          </cell>
          <cell r="AB12">
            <v>0.8</v>
          </cell>
          <cell r="AC12">
            <v>0.8</v>
          </cell>
          <cell r="AD12">
            <v>0.8</v>
          </cell>
          <cell r="AE12">
            <v>0.8</v>
          </cell>
          <cell r="AF12">
            <v>0.8</v>
          </cell>
          <cell r="AG12">
            <v>0.8</v>
          </cell>
          <cell r="AH12">
            <v>0.8</v>
          </cell>
          <cell r="AI12">
            <v>0.8</v>
          </cell>
          <cell r="AJ12">
            <v>0.8</v>
          </cell>
          <cell r="AK12">
            <v>0.8</v>
          </cell>
          <cell r="AL12">
            <v>0.8</v>
          </cell>
          <cell r="AM12">
            <v>0.8</v>
          </cell>
          <cell r="AN12">
            <v>0.8</v>
          </cell>
          <cell r="AO12">
            <v>0.8</v>
          </cell>
          <cell r="AP12">
            <v>0.8</v>
          </cell>
          <cell r="AQ12">
            <v>0.8</v>
          </cell>
          <cell r="AR12">
            <v>0.8</v>
          </cell>
          <cell r="AS12">
            <v>0.8</v>
          </cell>
          <cell r="AT12">
            <v>0.8</v>
          </cell>
          <cell r="AU12">
            <v>0.9</v>
          </cell>
          <cell r="AV12">
            <v>0.9</v>
          </cell>
          <cell r="AW12">
            <v>0.9</v>
          </cell>
          <cell r="AX12">
            <v>0.9</v>
          </cell>
          <cell r="AY12">
            <v>0.9</v>
          </cell>
          <cell r="AZ12">
            <v>0.9</v>
          </cell>
          <cell r="BA12">
            <v>0.9</v>
          </cell>
          <cell r="BB12">
            <v>0.9</v>
          </cell>
          <cell r="BC12">
            <v>0.9</v>
          </cell>
          <cell r="BD12">
            <v>0.9</v>
          </cell>
          <cell r="BE12">
            <v>0.9</v>
          </cell>
          <cell r="BF12">
            <v>0.9</v>
          </cell>
          <cell r="BG12">
            <v>0.9</v>
          </cell>
          <cell r="BH12">
            <v>0.9</v>
          </cell>
          <cell r="BI12">
            <v>0.9</v>
          </cell>
          <cell r="BJ12">
            <v>0.9</v>
          </cell>
          <cell r="BK12">
            <v>0.9</v>
          </cell>
          <cell r="BL12">
            <v>0.9</v>
          </cell>
          <cell r="BM12">
            <v>0.9</v>
          </cell>
          <cell r="BN12">
            <v>0.9</v>
          </cell>
          <cell r="BO12">
            <v>0.9</v>
          </cell>
          <cell r="BP12">
            <v>0.9</v>
          </cell>
          <cell r="BQ12">
            <v>1.1499999999999999</v>
          </cell>
          <cell r="BR12">
            <v>1.1499999999999999</v>
          </cell>
          <cell r="BS12">
            <v>1.1499999999999999</v>
          </cell>
          <cell r="BT12">
            <v>1.1499999999999999</v>
          </cell>
          <cell r="BU12">
            <v>1.1499999999999999</v>
          </cell>
          <cell r="BV12">
            <v>1.1499999999999999</v>
          </cell>
          <cell r="BW12">
            <v>1.1499999999999999</v>
          </cell>
          <cell r="BX12">
            <v>1.1499999999999999</v>
          </cell>
          <cell r="BY12">
            <v>1.1499999999999999</v>
          </cell>
          <cell r="BZ12">
            <v>1.1499999999999999</v>
          </cell>
          <cell r="CA12">
            <v>1.1499999999999999</v>
          </cell>
          <cell r="CB12">
            <v>1.1499999999999999</v>
          </cell>
          <cell r="CC12">
            <v>1.1499999999999999</v>
          </cell>
          <cell r="CD12">
            <v>1.1499999999999999</v>
          </cell>
          <cell r="CE12">
            <v>1.1499999999999999</v>
          </cell>
          <cell r="CF12">
            <v>1.1499999999999999</v>
          </cell>
          <cell r="CG12">
            <v>1.1499999999999999</v>
          </cell>
          <cell r="CH12">
            <v>1.1499999999999999</v>
          </cell>
          <cell r="CI12">
            <v>1.1499999999999999</v>
          </cell>
          <cell r="CJ12">
            <v>1.1499999999999999</v>
          </cell>
          <cell r="CK12">
            <v>1.1499999999999999</v>
          </cell>
          <cell r="CL12">
            <v>1.1499999999999999</v>
          </cell>
        </row>
        <row r="13">
          <cell r="A13" t="str">
            <v>HARDSupporting HW and SW Fees</v>
          </cell>
          <cell r="B13" t="str">
            <v>Supporting HW and SW Fees</v>
          </cell>
          <cell r="C13">
            <v>1</v>
          </cell>
          <cell r="D13">
            <v>1</v>
          </cell>
          <cell r="E13">
            <v>1</v>
          </cell>
          <cell r="F13">
            <v>1</v>
          </cell>
          <cell r="G13">
            <v>1</v>
          </cell>
          <cell r="H13">
            <v>1</v>
          </cell>
          <cell r="I13">
            <v>1</v>
          </cell>
          <cell r="J13">
            <v>1</v>
          </cell>
          <cell r="K13">
            <v>1</v>
          </cell>
          <cell r="L13">
            <v>1</v>
          </cell>
          <cell r="M13">
            <v>1</v>
          </cell>
          <cell r="N13">
            <v>1</v>
          </cell>
          <cell r="O13">
            <v>1</v>
          </cell>
          <cell r="P13">
            <v>1</v>
          </cell>
          <cell r="Q13">
            <v>1</v>
          </cell>
          <cell r="R13">
            <v>1</v>
          </cell>
          <cell r="S13">
            <v>1</v>
          </cell>
          <cell r="T13">
            <v>1</v>
          </cell>
          <cell r="U13">
            <v>1</v>
          </cell>
          <cell r="V13">
            <v>1</v>
          </cell>
          <cell r="W13">
            <v>1</v>
          </cell>
          <cell r="X13">
            <v>1</v>
          </cell>
          <cell r="Y13">
            <v>0.8</v>
          </cell>
          <cell r="Z13">
            <v>0.8</v>
          </cell>
          <cell r="AA13">
            <v>0.8</v>
          </cell>
          <cell r="AB13">
            <v>0.8</v>
          </cell>
          <cell r="AC13">
            <v>0.8</v>
          </cell>
          <cell r="AD13">
            <v>0.8</v>
          </cell>
          <cell r="AE13">
            <v>0.8</v>
          </cell>
          <cell r="AF13">
            <v>0.8</v>
          </cell>
          <cell r="AG13">
            <v>0.8</v>
          </cell>
          <cell r="AH13">
            <v>0.8</v>
          </cell>
          <cell r="AI13">
            <v>0.8</v>
          </cell>
          <cell r="AJ13">
            <v>0.8</v>
          </cell>
          <cell r="AK13">
            <v>0.8</v>
          </cell>
          <cell r="AL13">
            <v>0.8</v>
          </cell>
          <cell r="AM13">
            <v>0.8</v>
          </cell>
          <cell r="AN13">
            <v>0.8</v>
          </cell>
          <cell r="AO13">
            <v>0.8</v>
          </cell>
          <cell r="AP13">
            <v>0.8</v>
          </cell>
          <cell r="AQ13">
            <v>0.8</v>
          </cell>
          <cell r="AR13">
            <v>0.8</v>
          </cell>
          <cell r="AS13">
            <v>0.8</v>
          </cell>
          <cell r="AT13">
            <v>0.8</v>
          </cell>
          <cell r="AU13">
            <v>0.9</v>
          </cell>
          <cell r="AV13">
            <v>0.9</v>
          </cell>
          <cell r="AW13">
            <v>0.9</v>
          </cell>
          <cell r="AX13">
            <v>0.9</v>
          </cell>
          <cell r="AY13">
            <v>0.9</v>
          </cell>
          <cell r="AZ13">
            <v>0.9</v>
          </cell>
          <cell r="BA13">
            <v>0.9</v>
          </cell>
          <cell r="BB13">
            <v>0.9</v>
          </cell>
          <cell r="BC13">
            <v>0.9</v>
          </cell>
          <cell r="BD13">
            <v>0.9</v>
          </cell>
          <cell r="BE13">
            <v>0.9</v>
          </cell>
          <cell r="BF13">
            <v>0.9</v>
          </cell>
          <cell r="BG13">
            <v>0.9</v>
          </cell>
          <cell r="BH13">
            <v>0.9</v>
          </cell>
          <cell r="BI13">
            <v>0.9</v>
          </cell>
          <cell r="BJ13">
            <v>0.9</v>
          </cell>
          <cell r="BK13">
            <v>0.9</v>
          </cell>
          <cell r="BL13">
            <v>0.9</v>
          </cell>
          <cell r="BM13">
            <v>0.9</v>
          </cell>
          <cell r="BN13">
            <v>0.9</v>
          </cell>
          <cell r="BO13">
            <v>0.9</v>
          </cell>
          <cell r="BP13">
            <v>0.9</v>
          </cell>
          <cell r="BQ13">
            <v>1.1499999999999999</v>
          </cell>
          <cell r="BR13">
            <v>1.1499999999999999</v>
          </cell>
          <cell r="BS13">
            <v>1.1499999999999999</v>
          </cell>
          <cell r="BT13">
            <v>1.1499999999999999</v>
          </cell>
          <cell r="BU13">
            <v>1.1499999999999999</v>
          </cell>
          <cell r="BV13">
            <v>1.1499999999999999</v>
          </cell>
          <cell r="BW13">
            <v>1.1499999999999999</v>
          </cell>
          <cell r="BX13">
            <v>1.1499999999999999</v>
          </cell>
          <cell r="BY13">
            <v>1.1499999999999999</v>
          </cell>
          <cell r="BZ13">
            <v>1.1499999999999999</v>
          </cell>
          <cell r="CA13">
            <v>1.1499999999999999</v>
          </cell>
          <cell r="CB13">
            <v>1.1499999999999999</v>
          </cell>
          <cell r="CC13">
            <v>1.1499999999999999</v>
          </cell>
          <cell r="CD13">
            <v>1.1499999999999999</v>
          </cell>
          <cell r="CE13">
            <v>1.1499999999999999</v>
          </cell>
          <cell r="CF13">
            <v>1.1499999999999999</v>
          </cell>
          <cell r="CG13">
            <v>1.1499999999999999</v>
          </cell>
          <cell r="CH13">
            <v>1.1499999999999999</v>
          </cell>
          <cell r="CI13">
            <v>1.1499999999999999</v>
          </cell>
          <cell r="CJ13">
            <v>1.1499999999999999</v>
          </cell>
          <cell r="CK13">
            <v>1.1499999999999999</v>
          </cell>
          <cell r="CL13">
            <v>1.1499999999999999</v>
          </cell>
        </row>
        <row r="14">
          <cell r="A14" t="str">
            <v>HARDPAS BT Support Staff</v>
          </cell>
          <cell r="B14" t="str">
            <v>PAS BT Support Staff</v>
          </cell>
          <cell r="C14">
            <v>1</v>
          </cell>
          <cell r="D14">
            <v>1</v>
          </cell>
          <cell r="E14">
            <v>1</v>
          </cell>
          <cell r="F14">
            <v>1</v>
          </cell>
          <cell r="G14">
            <v>1</v>
          </cell>
          <cell r="H14">
            <v>1</v>
          </cell>
          <cell r="I14">
            <v>1</v>
          </cell>
          <cell r="J14">
            <v>1</v>
          </cell>
          <cell r="K14">
            <v>1</v>
          </cell>
          <cell r="L14">
            <v>1</v>
          </cell>
          <cell r="M14">
            <v>1</v>
          </cell>
          <cell r="N14">
            <v>1</v>
          </cell>
          <cell r="O14">
            <v>1</v>
          </cell>
          <cell r="P14">
            <v>1</v>
          </cell>
          <cell r="Q14">
            <v>1</v>
          </cell>
          <cell r="R14">
            <v>1</v>
          </cell>
          <cell r="S14">
            <v>1</v>
          </cell>
          <cell r="T14">
            <v>1</v>
          </cell>
          <cell r="U14">
            <v>1</v>
          </cell>
          <cell r="V14">
            <v>1</v>
          </cell>
          <cell r="W14">
            <v>1</v>
          </cell>
          <cell r="X14">
            <v>1</v>
          </cell>
          <cell r="Y14">
            <v>0.8</v>
          </cell>
          <cell r="Z14">
            <v>0.8</v>
          </cell>
          <cell r="AA14">
            <v>0.8</v>
          </cell>
          <cell r="AB14">
            <v>0.8</v>
          </cell>
          <cell r="AC14">
            <v>0.8</v>
          </cell>
          <cell r="AD14">
            <v>0.8</v>
          </cell>
          <cell r="AE14">
            <v>0.8</v>
          </cell>
          <cell r="AF14">
            <v>0.8</v>
          </cell>
          <cell r="AG14">
            <v>0.8</v>
          </cell>
          <cell r="AH14">
            <v>0.8</v>
          </cell>
          <cell r="AI14">
            <v>0.8</v>
          </cell>
          <cell r="AJ14">
            <v>0.8</v>
          </cell>
          <cell r="AK14">
            <v>0.8</v>
          </cell>
          <cell r="AL14">
            <v>0.8</v>
          </cell>
          <cell r="AM14">
            <v>0.8</v>
          </cell>
          <cell r="AN14">
            <v>0.8</v>
          </cell>
          <cell r="AO14">
            <v>0.8</v>
          </cell>
          <cell r="AP14">
            <v>0.8</v>
          </cell>
          <cell r="AQ14">
            <v>0.8</v>
          </cell>
          <cell r="AR14">
            <v>0.8</v>
          </cell>
          <cell r="AS14">
            <v>0.8</v>
          </cell>
          <cell r="AT14">
            <v>0.8</v>
          </cell>
          <cell r="AU14">
            <v>0.9</v>
          </cell>
          <cell r="AV14">
            <v>0.9</v>
          </cell>
          <cell r="AW14">
            <v>0.9</v>
          </cell>
          <cell r="AX14">
            <v>0.9</v>
          </cell>
          <cell r="AY14">
            <v>0.9</v>
          </cell>
          <cell r="AZ14">
            <v>0.9</v>
          </cell>
          <cell r="BA14">
            <v>0.9</v>
          </cell>
          <cell r="BB14">
            <v>0.9</v>
          </cell>
          <cell r="BC14">
            <v>0.9</v>
          </cell>
          <cell r="BD14">
            <v>0.9</v>
          </cell>
          <cell r="BE14">
            <v>0.9</v>
          </cell>
          <cell r="BF14">
            <v>0.9</v>
          </cell>
          <cell r="BG14">
            <v>0.9</v>
          </cell>
          <cell r="BH14">
            <v>0.9</v>
          </cell>
          <cell r="BI14">
            <v>0.9</v>
          </cell>
          <cell r="BJ14">
            <v>0.9</v>
          </cell>
          <cell r="BK14">
            <v>0.9</v>
          </cell>
          <cell r="BL14">
            <v>0.9</v>
          </cell>
          <cell r="BM14">
            <v>0.9</v>
          </cell>
          <cell r="BN14">
            <v>0.9</v>
          </cell>
          <cell r="BO14">
            <v>0.9</v>
          </cell>
          <cell r="BP14">
            <v>0.9</v>
          </cell>
          <cell r="BQ14">
            <v>1.1499999999999999</v>
          </cell>
          <cell r="BR14">
            <v>1.1499999999999999</v>
          </cell>
          <cell r="BS14">
            <v>1.1499999999999999</v>
          </cell>
          <cell r="BT14">
            <v>1.1499999999999999</v>
          </cell>
          <cell r="BU14">
            <v>1.1499999999999999</v>
          </cell>
          <cell r="BV14">
            <v>1.1499999999999999</v>
          </cell>
          <cell r="BW14">
            <v>1.1499999999999999</v>
          </cell>
          <cell r="BX14">
            <v>1.1499999999999999</v>
          </cell>
          <cell r="BY14">
            <v>1.1499999999999999</v>
          </cell>
          <cell r="BZ14">
            <v>1.1499999999999999</v>
          </cell>
          <cell r="CA14">
            <v>1.1499999999999999</v>
          </cell>
          <cell r="CB14">
            <v>1.1499999999999999</v>
          </cell>
          <cell r="CC14">
            <v>1.1499999999999999</v>
          </cell>
          <cell r="CD14">
            <v>1.1499999999999999</v>
          </cell>
          <cell r="CE14">
            <v>1.1499999999999999</v>
          </cell>
          <cell r="CF14">
            <v>1.1499999999999999</v>
          </cell>
          <cell r="CG14">
            <v>1.1499999999999999</v>
          </cell>
          <cell r="CH14">
            <v>1.1499999999999999</v>
          </cell>
          <cell r="CI14">
            <v>1.1499999999999999</v>
          </cell>
          <cell r="CJ14">
            <v>1.1499999999999999</v>
          </cell>
          <cell r="CK14">
            <v>1.1499999999999999</v>
          </cell>
          <cell r="CL14">
            <v>1.1499999999999999</v>
          </cell>
        </row>
        <row r="15">
          <cell r="A15" t="str">
            <v>HARDBT Efficiencies - Simplification of Interface Support</v>
          </cell>
          <cell r="B15" t="str">
            <v>BT Efficiencies - Simplification of Interface Support</v>
          </cell>
          <cell r="C15">
            <v>1</v>
          </cell>
          <cell r="D15">
            <v>1</v>
          </cell>
          <cell r="E15">
            <v>1</v>
          </cell>
          <cell r="F15">
            <v>1</v>
          </cell>
          <cell r="G15">
            <v>1</v>
          </cell>
          <cell r="H15">
            <v>1</v>
          </cell>
          <cell r="I15">
            <v>1</v>
          </cell>
          <cell r="J15">
            <v>1</v>
          </cell>
          <cell r="K15">
            <v>1</v>
          </cell>
          <cell r="L15">
            <v>1</v>
          </cell>
          <cell r="M15">
            <v>1</v>
          </cell>
          <cell r="N15">
            <v>1</v>
          </cell>
          <cell r="O15">
            <v>1</v>
          </cell>
          <cell r="P15">
            <v>1</v>
          </cell>
          <cell r="Q15">
            <v>1</v>
          </cell>
          <cell r="R15">
            <v>1</v>
          </cell>
          <cell r="S15">
            <v>1</v>
          </cell>
          <cell r="T15">
            <v>1</v>
          </cell>
          <cell r="U15">
            <v>1</v>
          </cell>
          <cell r="V15">
            <v>1</v>
          </cell>
          <cell r="W15">
            <v>1</v>
          </cell>
          <cell r="X15">
            <v>1</v>
          </cell>
          <cell r="Y15">
            <v>0.8</v>
          </cell>
          <cell r="Z15">
            <v>0.8</v>
          </cell>
          <cell r="AA15">
            <v>0.8</v>
          </cell>
          <cell r="AB15">
            <v>0.8</v>
          </cell>
          <cell r="AC15">
            <v>0.8</v>
          </cell>
          <cell r="AD15">
            <v>0.8</v>
          </cell>
          <cell r="AE15">
            <v>0.8</v>
          </cell>
          <cell r="AF15">
            <v>0.8</v>
          </cell>
          <cell r="AG15">
            <v>0.8</v>
          </cell>
          <cell r="AH15">
            <v>0.8</v>
          </cell>
          <cell r="AI15">
            <v>0.8</v>
          </cell>
          <cell r="AJ15">
            <v>0.8</v>
          </cell>
          <cell r="AK15">
            <v>0.8</v>
          </cell>
          <cell r="AL15">
            <v>0.8</v>
          </cell>
          <cell r="AM15">
            <v>0.8</v>
          </cell>
          <cell r="AN15">
            <v>0.8</v>
          </cell>
          <cell r="AO15">
            <v>0.8</v>
          </cell>
          <cell r="AP15">
            <v>0.8</v>
          </cell>
          <cell r="AQ15">
            <v>0.8</v>
          </cell>
          <cell r="AR15">
            <v>0.8</v>
          </cell>
          <cell r="AS15">
            <v>0.8</v>
          </cell>
          <cell r="AT15">
            <v>0.8</v>
          </cell>
          <cell r="AU15">
            <v>0.9</v>
          </cell>
          <cell r="AV15">
            <v>0.9</v>
          </cell>
          <cell r="AW15">
            <v>0.9</v>
          </cell>
          <cell r="AX15">
            <v>0.9</v>
          </cell>
          <cell r="AY15">
            <v>0.9</v>
          </cell>
          <cell r="AZ15">
            <v>0.9</v>
          </cell>
          <cell r="BA15">
            <v>0.9</v>
          </cell>
          <cell r="BB15">
            <v>0.9</v>
          </cell>
          <cell r="BC15">
            <v>0.9</v>
          </cell>
          <cell r="BD15">
            <v>0.9</v>
          </cell>
          <cell r="BE15">
            <v>0.9</v>
          </cell>
          <cell r="BF15">
            <v>0.9</v>
          </cell>
          <cell r="BG15">
            <v>0.9</v>
          </cell>
          <cell r="BH15">
            <v>0.9</v>
          </cell>
          <cell r="BI15">
            <v>0.9</v>
          </cell>
          <cell r="BJ15">
            <v>0.9</v>
          </cell>
          <cell r="BK15">
            <v>0.9</v>
          </cell>
          <cell r="BL15">
            <v>0.9</v>
          </cell>
          <cell r="BM15">
            <v>0.9</v>
          </cell>
          <cell r="BN15">
            <v>0.9</v>
          </cell>
          <cell r="BO15">
            <v>0.9</v>
          </cell>
          <cell r="BP15">
            <v>0.9</v>
          </cell>
          <cell r="BQ15">
            <v>1.1499999999999999</v>
          </cell>
          <cell r="BR15">
            <v>1.1499999999999999</v>
          </cell>
          <cell r="BS15">
            <v>1.1499999999999999</v>
          </cell>
          <cell r="BT15">
            <v>1.1499999999999999</v>
          </cell>
          <cell r="BU15">
            <v>1.1499999999999999</v>
          </cell>
          <cell r="BV15">
            <v>1.1499999999999999</v>
          </cell>
          <cell r="BW15">
            <v>1.1499999999999999</v>
          </cell>
          <cell r="BX15">
            <v>1.1499999999999999</v>
          </cell>
          <cell r="BY15">
            <v>1.1499999999999999</v>
          </cell>
          <cell r="BZ15">
            <v>1.1499999999999999</v>
          </cell>
          <cell r="CA15">
            <v>1.1499999999999999</v>
          </cell>
          <cell r="CB15">
            <v>1.1499999999999999</v>
          </cell>
          <cell r="CC15">
            <v>1.1499999999999999</v>
          </cell>
          <cell r="CD15">
            <v>1.1499999999999999</v>
          </cell>
          <cell r="CE15">
            <v>1.1499999999999999</v>
          </cell>
          <cell r="CF15">
            <v>1.1499999999999999</v>
          </cell>
          <cell r="CG15">
            <v>1.1499999999999999</v>
          </cell>
          <cell r="CH15">
            <v>1.1499999999999999</v>
          </cell>
          <cell r="CI15">
            <v>1.1499999999999999</v>
          </cell>
          <cell r="CJ15">
            <v>1.1499999999999999</v>
          </cell>
          <cell r="CK15">
            <v>1.1499999999999999</v>
          </cell>
          <cell r="CL15">
            <v>1.1499999999999999</v>
          </cell>
        </row>
        <row r="16">
          <cell r="A16" t="str">
            <v>HARDBT Efficiencies - Technology Rationalization</v>
          </cell>
          <cell r="B16" t="str">
            <v>BT Efficiencies - Technology Rationalization</v>
          </cell>
          <cell r="C16">
            <v>1</v>
          </cell>
          <cell r="D16">
            <v>1</v>
          </cell>
          <cell r="E16">
            <v>1</v>
          </cell>
          <cell r="F16">
            <v>1</v>
          </cell>
          <cell r="G16">
            <v>1</v>
          </cell>
          <cell r="H16">
            <v>1</v>
          </cell>
          <cell r="I16">
            <v>1</v>
          </cell>
          <cell r="J16">
            <v>1</v>
          </cell>
          <cell r="K16">
            <v>1</v>
          </cell>
          <cell r="L16">
            <v>1</v>
          </cell>
          <cell r="M16">
            <v>1</v>
          </cell>
          <cell r="N16">
            <v>1</v>
          </cell>
          <cell r="O16">
            <v>1</v>
          </cell>
          <cell r="P16">
            <v>1</v>
          </cell>
          <cell r="Q16">
            <v>1</v>
          </cell>
          <cell r="R16">
            <v>1</v>
          </cell>
          <cell r="S16">
            <v>1</v>
          </cell>
          <cell r="T16">
            <v>1</v>
          </cell>
          <cell r="U16">
            <v>1</v>
          </cell>
          <cell r="V16">
            <v>1</v>
          </cell>
          <cell r="W16">
            <v>1</v>
          </cell>
          <cell r="X16">
            <v>1</v>
          </cell>
          <cell r="Y16">
            <v>0.8</v>
          </cell>
          <cell r="Z16">
            <v>0.8</v>
          </cell>
          <cell r="AA16">
            <v>0.8</v>
          </cell>
          <cell r="AB16">
            <v>0.8</v>
          </cell>
          <cell r="AC16">
            <v>0.8</v>
          </cell>
          <cell r="AD16">
            <v>0.8</v>
          </cell>
          <cell r="AE16">
            <v>0.8</v>
          </cell>
          <cell r="AF16">
            <v>0.8</v>
          </cell>
          <cell r="AG16">
            <v>0.8</v>
          </cell>
          <cell r="AH16">
            <v>0.8</v>
          </cell>
          <cell r="AI16">
            <v>0.8</v>
          </cell>
          <cell r="AJ16">
            <v>0.8</v>
          </cell>
          <cell r="AK16">
            <v>0.8</v>
          </cell>
          <cell r="AL16">
            <v>0.8</v>
          </cell>
          <cell r="AM16">
            <v>0.8</v>
          </cell>
          <cell r="AN16">
            <v>0.8</v>
          </cell>
          <cell r="AO16">
            <v>0.8</v>
          </cell>
          <cell r="AP16">
            <v>0.8</v>
          </cell>
          <cell r="AQ16">
            <v>0.8</v>
          </cell>
          <cell r="AR16">
            <v>0.8</v>
          </cell>
          <cell r="AS16">
            <v>0.8</v>
          </cell>
          <cell r="AT16">
            <v>0.8</v>
          </cell>
          <cell r="AU16">
            <v>0.9</v>
          </cell>
          <cell r="AV16">
            <v>0.9</v>
          </cell>
          <cell r="AW16">
            <v>0.9</v>
          </cell>
          <cell r="AX16">
            <v>0.9</v>
          </cell>
          <cell r="AY16">
            <v>0.9</v>
          </cell>
          <cell r="AZ16">
            <v>0.9</v>
          </cell>
          <cell r="BA16">
            <v>0.9</v>
          </cell>
          <cell r="BB16">
            <v>0.9</v>
          </cell>
          <cell r="BC16">
            <v>0.9</v>
          </cell>
          <cell r="BD16">
            <v>0.9</v>
          </cell>
          <cell r="BE16">
            <v>0.9</v>
          </cell>
          <cell r="BF16">
            <v>0.9</v>
          </cell>
          <cell r="BG16">
            <v>0.9</v>
          </cell>
          <cell r="BH16">
            <v>0.9</v>
          </cell>
          <cell r="BI16">
            <v>0.9</v>
          </cell>
          <cell r="BJ16">
            <v>0.9</v>
          </cell>
          <cell r="BK16">
            <v>0.9</v>
          </cell>
          <cell r="BL16">
            <v>0.9</v>
          </cell>
          <cell r="BM16">
            <v>0.9</v>
          </cell>
          <cell r="BN16">
            <v>0.9</v>
          </cell>
          <cell r="BO16">
            <v>0.9</v>
          </cell>
          <cell r="BP16">
            <v>0.9</v>
          </cell>
          <cell r="BQ16">
            <v>1.1499999999999999</v>
          </cell>
          <cell r="BR16">
            <v>1.1499999999999999</v>
          </cell>
          <cell r="BS16">
            <v>1.1499999999999999</v>
          </cell>
          <cell r="BT16">
            <v>1.1499999999999999</v>
          </cell>
          <cell r="BU16">
            <v>1.1499999999999999</v>
          </cell>
          <cell r="BV16">
            <v>1.1499999999999999</v>
          </cell>
          <cell r="BW16">
            <v>1.1499999999999999</v>
          </cell>
          <cell r="BX16">
            <v>1.1499999999999999</v>
          </cell>
          <cell r="BY16">
            <v>1.1499999999999999</v>
          </cell>
          <cell r="BZ16">
            <v>1.1499999999999999</v>
          </cell>
          <cell r="CA16">
            <v>1.1499999999999999</v>
          </cell>
          <cell r="CB16">
            <v>1.1499999999999999</v>
          </cell>
          <cell r="CC16">
            <v>1.1499999999999999</v>
          </cell>
          <cell r="CD16">
            <v>1.1499999999999999</v>
          </cell>
          <cell r="CE16">
            <v>1.1499999999999999</v>
          </cell>
          <cell r="CF16">
            <v>1.1499999999999999</v>
          </cell>
          <cell r="CG16">
            <v>1.1499999999999999</v>
          </cell>
          <cell r="CH16">
            <v>1.1499999999999999</v>
          </cell>
          <cell r="CI16">
            <v>1.1499999999999999</v>
          </cell>
          <cell r="CJ16">
            <v>1.1499999999999999</v>
          </cell>
          <cell r="CK16">
            <v>1.1499999999999999</v>
          </cell>
          <cell r="CL16">
            <v>1.1499999999999999</v>
          </cell>
        </row>
        <row r="17">
          <cell r="A17" t="str">
            <v>HARDBT Efficiencies - Support of a Modern System</v>
          </cell>
          <cell r="B17" t="str">
            <v>BT Efficiencies - Support of a Modern System</v>
          </cell>
          <cell r="C17">
            <v>1</v>
          </cell>
          <cell r="D17">
            <v>1</v>
          </cell>
          <cell r="E17">
            <v>1</v>
          </cell>
          <cell r="F17">
            <v>1</v>
          </cell>
          <cell r="G17">
            <v>1</v>
          </cell>
          <cell r="H17">
            <v>1</v>
          </cell>
          <cell r="I17">
            <v>1</v>
          </cell>
          <cell r="J17">
            <v>1</v>
          </cell>
          <cell r="K17">
            <v>1</v>
          </cell>
          <cell r="L17">
            <v>1</v>
          </cell>
          <cell r="M17">
            <v>1</v>
          </cell>
          <cell r="N17">
            <v>1</v>
          </cell>
          <cell r="O17">
            <v>1</v>
          </cell>
          <cell r="P17">
            <v>1</v>
          </cell>
          <cell r="Q17">
            <v>1</v>
          </cell>
          <cell r="R17">
            <v>1</v>
          </cell>
          <cell r="S17">
            <v>1</v>
          </cell>
          <cell r="T17">
            <v>1</v>
          </cell>
          <cell r="U17">
            <v>1</v>
          </cell>
          <cell r="V17">
            <v>1</v>
          </cell>
          <cell r="W17">
            <v>1</v>
          </cell>
          <cell r="X17">
            <v>1</v>
          </cell>
          <cell r="Y17">
            <v>0.8</v>
          </cell>
          <cell r="Z17">
            <v>0.8</v>
          </cell>
          <cell r="AA17">
            <v>0.8</v>
          </cell>
          <cell r="AB17">
            <v>0.8</v>
          </cell>
          <cell r="AC17">
            <v>0.8</v>
          </cell>
          <cell r="AD17">
            <v>0.8</v>
          </cell>
          <cell r="AE17">
            <v>0.8</v>
          </cell>
          <cell r="AF17">
            <v>0.8</v>
          </cell>
          <cell r="AG17">
            <v>0.8</v>
          </cell>
          <cell r="AH17">
            <v>0.8</v>
          </cell>
          <cell r="AI17">
            <v>0.8</v>
          </cell>
          <cell r="AJ17">
            <v>0.8</v>
          </cell>
          <cell r="AK17">
            <v>0.8</v>
          </cell>
          <cell r="AL17">
            <v>0.8</v>
          </cell>
          <cell r="AM17">
            <v>0.8</v>
          </cell>
          <cell r="AN17">
            <v>0.8</v>
          </cell>
          <cell r="AO17">
            <v>0.8</v>
          </cell>
          <cell r="AP17">
            <v>0.8</v>
          </cell>
          <cell r="AQ17">
            <v>0.8</v>
          </cell>
          <cell r="AR17">
            <v>0.8</v>
          </cell>
          <cell r="AS17">
            <v>0.8</v>
          </cell>
          <cell r="AT17">
            <v>0.8</v>
          </cell>
          <cell r="AU17">
            <v>0.9</v>
          </cell>
          <cell r="AV17">
            <v>0.9</v>
          </cell>
          <cell r="AW17">
            <v>0.9</v>
          </cell>
          <cell r="AX17">
            <v>0.9</v>
          </cell>
          <cell r="AY17">
            <v>0.9</v>
          </cell>
          <cell r="AZ17">
            <v>0.9</v>
          </cell>
          <cell r="BA17">
            <v>0.9</v>
          </cell>
          <cell r="BB17">
            <v>0.9</v>
          </cell>
          <cell r="BC17">
            <v>0.9</v>
          </cell>
          <cell r="BD17">
            <v>0.9</v>
          </cell>
          <cell r="BE17">
            <v>0.9</v>
          </cell>
          <cell r="BF17">
            <v>0.9</v>
          </cell>
          <cell r="BG17">
            <v>0.9</v>
          </cell>
          <cell r="BH17">
            <v>0.9</v>
          </cell>
          <cell r="BI17">
            <v>0.9</v>
          </cell>
          <cell r="BJ17">
            <v>0.9</v>
          </cell>
          <cell r="BK17">
            <v>0.9</v>
          </cell>
          <cell r="BL17">
            <v>0.9</v>
          </cell>
          <cell r="BM17">
            <v>0.9</v>
          </cell>
          <cell r="BN17">
            <v>0.9</v>
          </cell>
          <cell r="BO17">
            <v>0.9</v>
          </cell>
          <cell r="BP17">
            <v>0.9</v>
          </cell>
          <cell r="BQ17">
            <v>1.1499999999999999</v>
          </cell>
          <cell r="BR17">
            <v>1.1499999999999999</v>
          </cell>
          <cell r="BS17">
            <v>1.1499999999999999</v>
          </cell>
          <cell r="BT17">
            <v>1.1499999999999999</v>
          </cell>
          <cell r="BU17">
            <v>1.1499999999999999</v>
          </cell>
          <cell r="BV17">
            <v>1.1499999999999999</v>
          </cell>
          <cell r="BW17">
            <v>1.1499999999999999</v>
          </cell>
          <cell r="BX17">
            <v>1.1499999999999999</v>
          </cell>
          <cell r="BY17">
            <v>1.1499999999999999</v>
          </cell>
          <cell r="BZ17">
            <v>1.1499999999999999</v>
          </cell>
          <cell r="CA17">
            <v>1.1499999999999999</v>
          </cell>
          <cell r="CB17">
            <v>1.1499999999999999</v>
          </cell>
          <cell r="CC17">
            <v>1.1499999999999999</v>
          </cell>
          <cell r="CD17">
            <v>1.1499999999999999</v>
          </cell>
          <cell r="CE17">
            <v>1.1499999999999999</v>
          </cell>
          <cell r="CF17">
            <v>1.1499999999999999</v>
          </cell>
          <cell r="CG17">
            <v>1.1499999999999999</v>
          </cell>
          <cell r="CH17">
            <v>1.1499999999999999</v>
          </cell>
          <cell r="CI17">
            <v>1.1499999999999999</v>
          </cell>
          <cell r="CJ17">
            <v>1.1499999999999999</v>
          </cell>
          <cell r="CK17">
            <v>1.1499999999999999</v>
          </cell>
          <cell r="CL17">
            <v>1.1499999999999999</v>
          </cell>
        </row>
        <row r="18">
          <cell r="A18" t="str">
            <v>HARDBT Efficiencies - Span of Control</v>
          </cell>
          <cell r="B18" t="str">
            <v>BT Efficiencies - Span of Control</v>
          </cell>
          <cell r="C18">
            <v>1</v>
          </cell>
          <cell r="D18">
            <v>1</v>
          </cell>
          <cell r="E18">
            <v>1</v>
          </cell>
          <cell r="F18">
            <v>1</v>
          </cell>
          <cell r="G18">
            <v>1</v>
          </cell>
          <cell r="H18">
            <v>1</v>
          </cell>
          <cell r="I18">
            <v>1</v>
          </cell>
          <cell r="J18">
            <v>1</v>
          </cell>
          <cell r="K18">
            <v>1</v>
          </cell>
          <cell r="L18">
            <v>1</v>
          </cell>
          <cell r="M18">
            <v>1</v>
          </cell>
          <cell r="N18">
            <v>1</v>
          </cell>
          <cell r="O18">
            <v>1</v>
          </cell>
          <cell r="P18">
            <v>1</v>
          </cell>
          <cell r="Q18">
            <v>1</v>
          </cell>
          <cell r="R18">
            <v>1</v>
          </cell>
          <cell r="S18">
            <v>1</v>
          </cell>
          <cell r="T18">
            <v>1</v>
          </cell>
          <cell r="U18">
            <v>1</v>
          </cell>
          <cell r="V18">
            <v>1</v>
          </cell>
          <cell r="W18">
            <v>1</v>
          </cell>
          <cell r="X18">
            <v>1</v>
          </cell>
          <cell r="Y18">
            <v>0.8</v>
          </cell>
          <cell r="Z18">
            <v>0.8</v>
          </cell>
          <cell r="AA18">
            <v>0.8</v>
          </cell>
          <cell r="AB18">
            <v>0.8</v>
          </cell>
          <cell r="AC18">
            <v>0.8</v>
          </cell>
          <cell r="AD18">
            <v>0.8</v>
          </cell>
          <cell r="AE18">
            <v>0.8</v>
          </cell>
          <cell r="AF18">
            <v>0.8</v>
          </cell>
          <cell r="AG18">
            <v>0.8</v>
          </cell>
          <cell r="AH18">
            <v>0.8</v>
          </cell>
          <cell r="AI18">
            <v>0.8</v>
          </cell>
          <cell r="AJ18">
            <v>0.8</v>
          </cell>
          <cell r="AK18">
            <v>0.8</v>
          </cell>
          <cell r="AL18">
            <v>0.8</v>
          </cell>
          <cell r="AM18">
            <v>0.8</v>
          </cell>
          <cell r="AN18">
            <v>0.8</v>
          </cell>
          <cell r="AO18">
            <v>0.8</v>
          </cell>
          <cell r="AP18">
            <v>0.8</v>
          </cell>
          <cell r="AQ18">
            <v>0.8</v>
          </cell>
          <cell r="AR18">
            <v>0.8</v>
          </cell>
          <cell r="AS18">
            <v>0.8</v>
          </cell>
          <cell r="AT18">
            <v>0.8</v>
          </cell>
          <cell r="AU18">
            <v>0.9</v>
          </cell>
          <cell r="AV18">
            <v>0.9</v>
          </cell>
          <cell r="AW18">
            <v>0.9</v>
          </cell>
          <cell r="AX18">
            <v>0.9</v>
          </cell>
          <cell r="AY18">
            <v>0.9</v>
          </cell>
          <cell r="AZ18">
            <v>0.9</v>
          </cell>
          <cell r="BA18">
            <v>0.9</v>
          </cell>
          <cell r="BB18">
            <v>0.9</v>
          </cell>
          <cell r="BC18">
            <v>0.9</v>
          </cell>
          <cell r="BD18">
            <v>0.9</v>
          </cell>
          <cell r="BE18">
            <v>0.9</v>
          </cell>
          <cell r="BF18">
            <v>0.9</v>
          </cell>
          <cell r="BG18">
            <v>0.9</v>
          </cell>
          <cell r="BH18">
            <v>0.9</v>
          </cell>
          <cell r="BI18">
            <v>0.9</v>
          </cell>
          <cell r="BJ18">
            <v>0.9</v>
          </cell>
          <cell r="BK18">
            <v>0.9</v>
          </cell>
          <cell r="BL18">
            <v>0.9</v>
          </cell>
          <cell r="BM18">
            <v>0.9</v>
          </cell>
          <cell r="BN18">
            <v>0.9</v>
          </cell>
          <cell r="BO18">
            <v>0.9</v>
          </cell>
          <cell r="BP18">
            <v>0.9</v>
          </cell>
          <cell r="BQ18">
            <v>1.1499999999999999</v>
          </cell>
          <cell r="BR18">
            <v>1.1499999999999999</v>
          </cell>
          <cell r="BS18">
            <v>1.1499999999999999</v>
          </cell>
          <cell r="BT18">
            <v>1.1499999999999999</v>
          </cell>
          <cell r="BU18">
            <v>1.1499999999999999</v>
          </cell>
          <cell r="BV18">
            <v>1.1499999999999999</v>
          </cell>
          <cell r="BW18">
            <v>1.1499999999999999</v>
          </cell>
          <cell r="BX18">
            <v>1.1499999999999999</v>
          </cell>
          <cell r="BY18">
            <v>1.1499999999999999</v>
          </cell>
          <cell r="BZ18">
            <v>1.1499999999999999</v>
          </cell>
          <cell r="CA18">
            <v>1.1499999999999999</v>
          </cell>
          <cell r="CB18">
            <v>1.1499999999999999</v>
          </cell>
          <cell r="CC18">
            <v>1.1499999999999999</v>
          </cell>
          <cell r="CD18">
            <v>1.1499999999999999</v>
          </cell>
          <cell r="CE18">
            <v>1.1499999999999999</v>
          </cell>
          <cell r="CF18">
            <v>1.1499999999999999</v>
          </cell>
          <cell r="CG18">
            <v>1.1499999999999999</v>
          </cell>
          <cell r="CH18">
            <v>1.1499999999999999</v>
          </cell>
          <cell r="CI18">
            <v>1.1499999999999999</v>
          </cell>
          <cell r="CJ18">
            <v>1.1499999999999999</v>
          </cell>
          <cell r="CK18">
            <v>1.1499999999999999</v>
          </cell>
          <cell r="CL18">
            <v>1.1499999999999999</v>
          </cell>
        </row>
        <row r="19">
          <cell r="A19" t="str">
            <v>HARDCO Efficiencies - Use of Single System</v>
          </cell>
          <cell r="B19" t="str">
            <v>CO Efficiencies - Use of Single System</v>
          </cell>
          <cell r="C19">
            <v>1</v>
          </cell>
          <cell r="D19">
            <v>1</v>
          </cell>
          <cell r="E19">
            <v>1</v>
          </cell>
          <cell r="F19">
            <v>1</v>
          </cell>
          <cell r="G19">
            <v>1</v>
          </cell>
          <cell r="H19">
            <v>1</v>
          </cell>
          <cell r="I19">
            <v>1</v>
          </cell>
          <cell r="J19">
            <v>1</v>
          </cell>
          <cell r="K19">
            <v>1</v>
          </cell>
          <cell r="L19">
            <v>1</v>
          </cell>
          <cell r="M19">
            <v>1</v>
          </cell>
          <cell r="N19">
            <v>1</v>
          </cell>
          <cell r="O19">
            <v>1</v>
          </cell>
          <cell r="P19">
            <v>1</v>
          </cell>
          <cell r="Q19">
            <v>1</v>
          </cell>
          <cell r="R19">
            <v>1</v>
          </cell>
          <cell r="S19">
            <v>1</v>
          </cell>
          <cell r="T19">
            <v>1</v>
          </cell>
          <cell r="U19">
            <v>1</v>
          </cell>
          <cell r="V19">
            <v>1</v>
          </cell>
          <cell r="W19">
            <v>1</v>
          </cell>
          <cell r="X19">
            <v>1</v>
          </cell>
          <cell r="Y19">
            <v>0.8</v>
          </cell>
          <cell r="Z19">
            <v>0.8</v>
          </cell>
          <cell r="AA19">
            <v>0.8</v>
          </cell>
          <cell r="AB19">
            <v>0.8</v>
          </cell>
          <cell r="AC19">
            <v>0.8</v>
          </cell>
          <cell r="AD19">
            <v>0.8</v>
          </cell>
          <cell r="AE19">
            <v>0.8</v>
          </cell>
          <cell r="AF19">
            <v>0.8</v>
          </cell>
          <cell r="AG19">
            <v>0.8</v>
          </cell>
          <cell r="AH19">
            <v>0.8</v>
          </cell>
          <cell r="AI19">
            <v>0.8</v>
          </cell>
          <cell r="AJ19">
            <v>0.8</v>
          </cell>
          <cell r="AK19">
            <v>0.8</v>
          </cell>
          <cell r="AL19">
            <v>0.8</v>
          </cell>
          <cell r="AM19">
            <v>0.8</v>
          </cell>
          <cell r="AN19">
            <v>0.8</v>
          </cell>
          <cell r="AO19">
            <v>0.8</v>
          </cell>
          <cell r="AP19">
            <v>0.8</v>
          </cell>
          <cell r="AQ19">
            <v>0.8</v>
          </cell>
          <cell r="AR19">
            <v>0.8</v>
          </cell>
          <cell r="AS19">
            <v>0.8</v>
          </cell>
          <cell r="AT19">
            <v>0.8</v>
          </cell>
          <cell r="AU19">
            <v>0.9</v>
          </cell>
          <cell r="AV19">
            <v>0.9</v>
          </cell>
          <cell r="AW19">
            <v>0.9</v>
          </cell>
          <cell r="AX19">
            <v>0.9</v>
          </cell>
          <cell r="AY19">
            <v>0.9</v>
          </cell>
          <cell r="AZ19">
            <v>0.9</v>
          </cell>
          <cell r="BA19">
            <v>0.9</v>
          </cell>
          <cell r="BB19">
            <v>0.9</v>
          </cell>
          <cell r="BC19">
            <v>0.9</v>
          </cell>
          <cell r="BD19">
            <v>0.9</v>
          </cell>
          <cell r="BE19">
            <v>0.9</v>
          </cell>
          <cell r="BF19">
            <v>0.9</v>
          </cell>
          <cell r="BG19">
            <v>0.9</v>
          </cell>
          <cell r="BH19">
            <v>0.9</v>
          </cell>
          <cell r="BI19">
            <v>0.9</v>
          </cell>
          <cell r="BJ19">
            <v>0.9</v>
          </cell>
          <cell r="BK19">
            <v>0.9</v>
          </cell>
          <cell r="BL19">
            <v>0.9</v>
          </cell>
          <cell r="BM19">
            <v>0.9</v>
          </cell>
          <cell r="BN19">
            <v>0.9</v>
          </cell>
          <cell r="BO19">
            <v>0.9</v>
          </cell>
          <cell r="BP19">
            <v>0.9</v>
          </cell>
          <cell r="BQ19">
            <v>1.1499999999999999</v>
          </cell>
          <cell r="BR19">
            <v>1.1499999999999999</v>
          </cell>
          <cell r="BS19">
            <v>1.1499999999999999</v>
          </cell>
          <cell r="BT19">
            <v>1.1499999999999999</v>
          </cell>
          <cell r="BU19">
            <v>1.1499999999999999</v>
          </cell>
          <cell r="BV19">
            <v>1.1499999999999999</v>
          </cell>
          <cell r="BW19">
            <v>1.1499999999999999</v>
          </cell>
          <cell r="BX19">
            <v>1.1499999999999999</v>
          </cell>
          <cell r="BY19">
            <v>1.1499999999999999</v>
          </cell>
          <cell r="BZ19">
            <v>1.1499999999999999</v>
          </cell>
          <cell r="CA19">
            <v>1.1499999999999999</v>
          </cell>
          <cell r="CB19">
            <v>1.1499999999999999</v>
          </cell>
          <cell r="CC19">
            <v>1.1499999999999999</v>
          </cell>
          <cell r="CD19">
            <v>1.1499999999999999</v>
          </cell>
          <cell r="CE19">
            <v>1.1499999999999999</v>
          </cell>
          <cell r="CF19">
            <v>1.1499999999999999</v>
          </cell>
          <cell r="CG19">
            <v>1.1499999999999999</v>
          </cell>
          <cell r="CH19">
            <v>1.1499999999999999</v>
          </cell>
          <cell r="CI19">
            <v>1.1499999999999999</v>
          </cell>
          <cell r="CJ19">
            <v>1.1499999999999999</v>
          </cell>
          <cell r="CK19">
            <v>1.1499999999999999</v>
          </cell>
          <cell r="CL19">
            <v>1.1499999999999999</v>
          </cell>
        </row>
        <row r="20">
          <cell r="A20" t="str">
            <v>HARDCO Efficiencies - Improved Automation</v>
          </cell>
          <cell r="B20" t="str">
            <v>CO Efficiencies - Improved Automation</v>
          </cell>
          <cell r="C20">
            <v>1</v>
          </cell>
          <cell r="D20">
            <v>1</v>
          </cell>
          <cell r="E20">
            <v>1</v>
          </cell>
          <cell r="F20">
            <v>1</v>
          </cell>
          <cell r="G20">
            <v>1</v>
          </cell>
          <cell r="H20">
            <v>1</v>
          </cell>
          <cell r="I20">
            <v>1</v>
          </cell>
          <cell r="J20">
            <v>1</v>
          </cell>
          <cell r="K20">
            <v>1</v>
          </cell>
          <cell r="L20">
            <v>1</v>
          </cell>
          <cell r="M20">
            <v>1</v>
          </cell>
          <cell r="N20">
            <v>1</v>
          </cell>
          <cell r="O20">
            <v>1</v>
          </cell>
          <cell r="P20">
            <v>1</v>
          </cell>
          <cell r="Q20">
            <v>1</v>
          </cell>
          <cell r="R20">
            <v>1</v>
          </cell>
          <cell r="S20">
            <v>1</v>
          </cell>
          <cell r="T20">
            <v>1</v>
          </cell>
          <cell r="U20">
            <v>1</v>
          </cell>
          <cell r="V20">
            <v>1</v>
          </cell>
          <cell r="W20">
            <v>1</v>
          </cell>
          <cell r="X20">
            <v>1</v>
          </cell>
          <cell r="Y20">
            <v>0.8</v>
          </cell>
          <cell r="Z20">
            <v>0.8</v>
          </cell>
          <cell r="AA20">
            <v>0.8</v>
          </cell>
          <cell r="AB20">
            <v>0.8</v>
          </cell>
          <cell r="AC20">
            <v>0.8</v>
          </cell>
          <cell r="AD20">
            <v>0.8</v>
          </cell>
          <cell r="AE20">
            <v>0.8</v>
          </cell>
          <cell r="AF20">
            <v>0.8</v>
          </cell>
          <cell r="AG20">
            <v>0.8</v>
          </cell>
          <cell r="AH20">
            <v>0.8</v>
          </cell>
          <cell r="AI20">
            <v>0.8</v>
          </cell>
          <cell r="AJ20">
            <v>0.8</v>
          </cell>
          <cell r="AK20">
            <v>0.8</v>
          </cell>
          <cell r="AL20">
            <v>0.8</v>
          </cell>
          <cell r="AM20">
            <v>0.8</v>
          </cell>
          <cell r="AN20">
            <v>0.8</v>
          </cell>
          <cell r="AO20">
            <v>0.8</v>
          </cell>
          <cell r="AP20">
            <v>0.8</v>
          </cell>
          <cell r="AQ20">
            <v>0.8</v>
          </cell>
          <cell r="AR20">
            <v>0.8</v>
          </cell>
          <cell r="AS20">
            <v>0.8</v>
          </cell>
          <cell r="AT20">
            <v>0.8</v>
          </cell>
          <cell r="AU20">
            <v>0.9</v>
          </cell>
          <cell r="AV20">
            <v>0.9</v>
          </cell>
          <cell r="AW20">
            <v>0.9</v>
          </cell>
          <cell r="AX20">
            <v>0.9</v>
          </cell>
          <cell r="AY20">
            <v>0.9</v>
          </cell>
          <cell r="AZ20">
            <v>0.9</v>
          </cell>
          <cell r="BA20">
            <v>0.9</v>
          </cell>
          <cell r="BB20">
            <v>0.9</v>
          </cell>
          <cell r="BC20">
            <v>0.9</v>
          </cell>
          <cell r="BD20">
            <v>0.9</v>
          </cell>
          <cell r="BE20">
            <v>0.9</v>
          </cell>
          <cell r="BF20">
            <v>0.9</v>
          </cell>
          <cell r="BG20">
            <v>0.9</v>
          </cell>
          <cell r="BH20">
            <v>0.9</v>
          </cell>
          <cell r="BI20">
            <v>0.9</v>
          </cell>
          <cell r="BJ20">
            <v>0.9</v>
          </cell>
          <cell r="BK20">
            <v>0.9</v>
          </cell>
          <cell r="BL20">
            <v>0.9</v>
          </cell>
          <cell r="BM20">
            <v>0.9</v>
          </cell>
          <cell r="BN20">
            <v>0.9</v>
          </cell>
          <cell r="BO20">
            <v>0.9</v>
          </cell>
          <cell r="BP20">
            <v>0.9</v>
          </cell>
          <cell r="BQ20">
            <v>1.1499999999999999</v>
          </cell>
          <cell r="BR20">
            <v>1.1499999999999999</v>
          </cell>
          <cell r="BS20">
            <v>1.1499999999999999</v>
          </cell>
          <cell r="BT20">
            <v>1.1499999999999999</v>
          </cell>
          <cell r="BU20">
            <v>1.1499999999999999</v>
          </cell>
          <cell r="BV20">
            <v>1.1499999999999999</v>
          </cell>
          <cell r="BW20">
            <v>1.1499999999999999</v>
          </cell>
          <cell r="BX20">
            <v>1.1499999999999999</v>
          </cell>
          <cell r="BY20">
            <v>1.1499999999999999</v>
          </cell>
          <cell r="BZ20">
            <v>1.1499999999999999</v>
          </cell>
          <cell r="CA20">
            <v>1.1499999999999999</v>
          </cell>
          <cell r="CB20">
            <v>1.1499999999999999</v>
          </cell>
          <cell r="CC20">
            <v>1.1499999999999999</v>
          </cell>
          <cell r="CD20">
            <v>1.1499999999999999</v>
          </cell>
          <cell r="CE20">
            <v>1.1499999999999999</v>
          </cell>
          <cell r="CF20">
            <v>1.1499999999999999</v>
          </cell>
          <cell r="CG20">
            <v>1.1499999999999999</v>
          </cell>
          <cell r="CH20">
            <v>1.1499999999999999</v>
          </cell>
          <cell r="CI20">
            <v>1.1499999999999999</v>
          </cell>
          <cell r="CJ20">
            <v>1.1499999999999999</v>
          </cell>
          <cell r="CK20">
            <v>1.1499999999999999</v>
          </cell>
          <cell r="CL20">
            <v>1.1499999999999999</v>
          </cell>
        </row>
        <row r="21">
          <cell r="A21" t="str">
            <v>HARDCO Efficiencies - Improved Customer Service Interface</v>
          </cell>
          <cell r="B21" t="str">
            <v>CO Efficiencies - Improved Customer Service Interface</v>
          </cell>
          <cell r="C21">
            <v>1</v>
          </cell>
          <cell r="D21">
            <v>1</v>
          </cell>
          <cell r="E21">
            <v>1</v>
          </cell>
          <cell r="F21">
            <v>1</v>
          </cell>
          <cell r="G21">
            <v>1</v>
          </cell>
          <cell r="H21">
            <v>1</v>
          </cell>
          <cell r="I21">
            <v>1</v>
          </cell>
          <cell r="J21">
            <v>1</v>
          </cell>
          <cell r="K21">
            <v>1</v>
          </cell>
          <cell r="L21">
            <v>1</v>
          </cell>
          <cell r="M21">
            <v>1</v>
          </cell>
          <cell r="N21">
            <v>1</v>
          </cell>
          <cell r="O21">
            <v>1</v>
          </cell>
          <cell r="P21">
            <v>1</v>
          </cell>
          <cell r="Q21">
            <v>1</v>
          </cell>
          <cell r="R21">
            <v>1</v>
          </cell>
          <cell r="S21">
            <v>1</v>
          </cell>
          <cell r="T21">
            <v>1</v>
          </cell>
          <cell r="U21">
            <v>1</v>
          </cell>
          <cell r="V21">
            <v>1</v>
          </cell>
          <cell r="W21">
            <v>1</v>
          </cell>
          <cell r="X21">
            <v>1</v>
          </cell>
          <cell r="Y21">
            <v>0.8</v>
          </cell>
          <cell r="Z21">
            <v>0.8</v>
          </cell>
          <cell r="AA21">
            <v>0.8</v>
          </cell>
          <cell r="AB21">
            <v>0.8</v>
          </cell>
          <cell r="AC21">
            <v>0.8</v>
          </cell>
          <cell r="AD21">
            <v>0.8</v>
          </cell>
          <cell r="AE21">
            <v>0.8</v>
          </cell>
          <cell r="AF21">
            <v>0.8</v>
          </cell>
          <cell r="AG21">
            <v>0.8</v>
          </cell>
          <cell r="AH21">
            <v>0.8</v>
          </cell>
          <cell r="AI21">
            <v>0.8</v>
          </cell>
          <cell r="AJ21">
            <v>0.8</v>
          </cell>
          <cell r="AK21">
            <v>0.8</v>
          </cell>
          <cell r="AL21">
            <v>0.8</v>
          </cell>
          <cell r="AM21">
            <v>0.8</v>
          </cell>
          <cell r="AN21">
            <v>0.8</v>
          </cell>
          <cell r="AO21">
            <v>0.8</v>
          </cell>
          <cell r="AP21">
            <v>0.8</v>
          </cell>
          <cell r="AQ21">
            <v>0.8</v>
          </cell>
          <cell r="AR21">
            <v>0.8</v>
          </cell>
          <cell r="AS21">
            <v>0.8</v>
          </cell>
          <cell r="AT21">
            <v>0.8</v>
          </cell>
          <cell r="AU21">
            <v>0.9</v>
          </cell>
          <cell r="AV21">
            <v>0.9</v>
          </cell>
          <cell r="AW21">
            <v>0.9</v>
          </cell>
          <cell r="AX21">
            <v>0.9</v>
          </cell>
          <cell r="AY21">
            <v>0.9</v>
          </cell>
          <cell r="AZ21">
            <v>0.9</v>
          </cell>
          <cell r="BA21">
            <v>0.9</v>
          </cell>
          <cell r="BB21">
            <v>0.9</v>
          </cell>
          <cell r="BC21">
            <v>0.9</v>
          </cell>
          <cell r="BD21">
            <v>0.9</v>
          </cell>
          <cell r="BE21">
            <v>0.9</v>
          </cell>
          <cell r="BF21">
            <v>0.9</v>
          </cell>
          <cell r="BG21">
            <v>0.9</v>
          </cell>
          <cell r="BH21">
            <v>0.9</v>
          </cell>
          <cell r="BI21">
            <v>0.9</v>
          </cell>
          <cell r="BJ21">
            <v>0.9</v>
          </cell>
          <cell r="BK21">
            <v>0.9</v>
          </cell>
          <cell r="BL21">
            <v>0.9</v>
          </cell>
          <cell r="BM21">
            <v>0.9</v>
          </cell>
          <cell r="BN21">
            <v>0.9</v>
          </cell>
          <cell r="BO21">
            <v>0.9</v>
          </cell>
          <cell r="BP21">
            <v>0.9</v>
          </cell>
          <cell r="BQ21">
            <v>1.1499999999999999</v>
          </cell>
          <cell r="BR21">
            <v>1.1499999999999999</v>
          </cell>
          <cell r="BS21">
            <v>1.1499999999999999</v>
          </cell>
          <cell r="BT21">
            <v>1.1499999999999999</v>
          </cell>
          <cell r="BU21">
            <v>1.1499999999999999</v>
          </cell>
          <cell r="BV21">
            <v>1.1499999999999999</v>
          </cell>
          <cell r="BW21">
            <v>1.1499999999999999</v>
          </cell>
          <cell r="BX21">
            <v>1.1499999999999999</v>
          </cell>
          <cell r="BY21">
            <v>1.1499999999999999</v>
          </cell>
          <cell r="BZ21">
            <v>1.1499999999999999</v>
          </cell>
          <cell r="CA21">
            <v>1.1499999999999999</v>
          </cell>
          <cell r="CB21">
            <v>1.1499999999999999</v>
          </cell>
          <cell r="CC21">
            <v>1.1499999999999999</v>
          </cell>
          <cell r="CD21">
            <v>1.1499999999999999</v>
          </cell>
          <cell r="CE21">
            <v>1.1499999999999999</v>
          </cell>
          <cell r="CF21">
            <v>1.1499999999999999</v>
          </cell>
          <cell r="CG21">
            <v>1.1499999999999999</v>
          </cell>
          <cell r="CH21">
            <v>1.1499999999999999</v>
          </cell>
          <cell r="CI21">
            <v>1.1499999999999999</v>
          </cell>
          <cell r="CJ21">
            <v>1.1499999999999999</v>
          </cell>
          <cell r="CK21">
            <v>1.1499999999999999</v>
          </cell>
          <cell r="CL21">
            <v>1.1499999999999999</v>
          </cell>
        </row>
        <row r="22">
          <cell r="A22" t="str">
            <v>HARDCO Efficiencies - Claims Functionality</v>
          </cell>
          <cell r="B22" t="str">
            <v>CO Efficiencies - Claims Functionality</v>
          </cell>
          <cell r="C22">
            <v>1</v>
          </cell>
          <cell r="D22">
            <v>1</v>
          </cell>
          <cell r="E22">
            <v>1</v>
          </cell>
          <cell r="F22">
            <v>1</v>
          </cell>
          <cell r="G22">
            <v>1</v>
          </cell>
          <cell r="H22">
            <v>1</v>
          </cell>
          <cell r="I22">
            <v>1</v>
          </cell>
          <cell r="J22">
            <v>1</v>
          </cell>
          <cell r="K22">
            <v>1</v>
          </cell>
          <cell r="L22">
            <v>1</v>
          </cell>
          <cell r="M22">
            <v>1</v>
          </cell>
          <cell r="N22">
            <v>1</v>
          </cell>
          <cell r="O22">
            <v>1</v>
          </cell>
          <cell r="P22">
            <v>1</v>
          </cell>
          <cell r="Q22">
            <v>1</v>
          </cell>
          <cell r="R22">
            <v>1</v>
          </cell>
          <cell r="S22">
            <v>1</v>
          </cell>
          <cell r="T22">
            <v>1</v>
          </cell>
          <cell r="U22">
            <v>1</v>
          </cell>
          <cell r="V22">
            <v>1</v>
          </cell>
          <cell r="W22">
            <v>1</v>
          </cell>
          <cell r="X22">
            <v>1</v>
          </cell>
          <cell r="Y22">
            <v>0.8</v>
          </cell>
          <cell r="Z22">
            <v>0.8</v>
          </cell>
          <cell r="AA22">
            <v>0.8</v>
          </cell>
          <cell r="AB22">
            <v>0.8</v>
          </cell>
          <cell r="AC22">
            <v>0.8</v>
          </cell>
          <cell r="AD22">
            <v>0.8</v>
          </cell>
          <cell r="AE22">
            <v>0.8</v>
          </cell>
          <cell r="AF22">
            <v>0.8</v>
          </cell>
          <cell r="AG22">
            <v>0.8</v>
          </cell>
          <cell r="AH22">
            <v>0.8</v>
          </cell>
          <cell r="AI22">
            <v>0.8</v>
          </cell>
          <cell r="AJ22">
            <v>0.8</v>
          </cell>
          <cell r="AK22">
            <v>0.8</v>
          </cell>
          <cell r="AL22">
            <v>0.8</v>
          </cell>
          <cell r="AM22">
            <v>0.8</v>
          </cell>
          <cell r="AN22">
            <v>0.8</v>
          </cell>
          <cell r="AO22">
            <v>0.8</v>
          </cell>
          <cell r="AP22">
            <v>0.8</v>
          </cell>
          <cell r="AQ22">
            <v>0.8</v>
          </cell>
          <cell r="AR22">
            <v>0.8</v>
          </cell>
          <cell r="AS22">
            <v>0.8</v>
          </cell>
          <cell r="AT22">
            <v>0.8</v>
          </cell>
          <cell r="AU22">
            <v>0.9</v>
          </cell>
          <cell r="AV22">
            <v>0.9</v>
          </cell>
          <cell r="AW22">
            <v>0.9</v>
          </cell>
          <cell r="AX22">
            <v>0.9</v>
          </cell>
          <cell r="AY22">
            <v>0.9</v>
          </cell>
          <cell r="AZ22">
            <v>0.9</v>
          </cell>
          <cell r="BA22">
            <v>0.9</v>
          </cell>
          <cell r="BB22">
            <v>0.9</v>
          </cell>
          <cell r="BC22">
            <v>0.9</v>
          </cell>
          <cell r="BD22">
            <v>0.9</v>
          </cell>
          <cell r="BE22">
            <v>0.9</v>
          </cell>
          <cell r="BF22">
            <v>0.9</v>
          </cell>
          <cell r="BG22">
            <v>0.9</v>
          </cell>
          <cell r="BH22">
            <v>0.9</v>
          </cell>
          <cell r="BI22">
            <v>0.9</v>
          </cell>
          <cell r="BJ22">
            <v>0.9</v>
          </cell>
          <cell r="BK22">
            <v>0.9</v>
          </cell>
          <cell r="BL22">
            <v>0.9</v>
          </cell>
          <cell r="BM22">
            <v>0.9</v>
          </cell>
          <cell r="BN22">
            <v>0.9</v>
          </cell>
          <cell r="BO22">
            <v>0.9</v>
          </cell>
          <cell r="BP22">
            <v>0.9</v>
          </cell>
          <cell r="BQ22">
            <v>1.1499999999999999</v>
          </cell>
          <cell r="BR22">
            <v>1.1499999999999999</v>
          </cell>
          <cell r="BS22">
            <v>1.1499999999999999</v>
          </cell>
          <cell r="BT22">
            <v>1.1499999999999999</v>
          </cell>
          <cell r="BU22">
            <v>1.1499999999999999</v>
          </cell>
          <cell r="BV22">
            <v>1.1499999999999999</v>
          </cell>
          <cell r="BW22">
            <v>1.1499999999999999</v>
          </cell>
          <cell r="BX22">
            <v>1.1499999999999999</v>
          </cell>
          <cell r="BY22">
            <v>1.1499999999999999</v>
          </cell>
          <cell r="BZ22">
            <v>1.1499999999999999</v>
          </cell>
          <cell r="CA22">
            <v>1.1499999999999999</v>
          </cell>
          <cell r="CB22">
            <v>1.1499999999999999</v>
          </cell>
          <cell r="CC22">
            <v>1.1499999999999999</v>
          </cell>
          <cell r="CD22">
            <v>1.1499999999999999</v>
          </cell>
          <cell r="CE22">
            <v>1.1499999999999999</v>
          </cell>
          <cell r="CF22">
            <v>1.1499999999999999</v>
          </cell>
          <cell r="CG22">
            <v>1.1499999999999999</v>
          </cell>
          <cell r="CH22">
            <v>1.1499999999999999</v>
          </cell>
          <cell r="CI22">
            <v>1.1499999999999999</v>
          </cell>
          <cell r="CJ22">
            <v>1.1499999999999999</v>
          </cell>
          <cell r="CK22">
            <v>1.1499999999999999</v>
          </cell>
          <cell r="CL22">
            <v>1.1499999999999999</v>
          </cell>
        </row>
        <row r="23">
          <cell r="A23" t="str">
            <v>HARDCO Efficiencies - Output Automation</v>
          </cell>
          <cell r="B23" t="str">
            <v>CO Efficiencies - Output Automation</v>
          </cell>
          <cell r="C23">
            <v>1</v>
          </cell>
          <cell r="D23">
            <v>1</v>
          </cell>
          <cell r="E23">
            <v>1</v>
          </cell>
          <cell r="F23">
            <v>1</v>
          </cell>
          <cell r="G23">
            <v>1</v>
          </cell>
          <cell r="H23">
            <v>1</v>
          </cell>
          <cell r="I23">
            <v>1</v>
          </cell>
          <cell r="J23">
            <v>1</v>
          </cell>
          <cell r="K23">
            <v>1</v>
          </cell>
          <cell r="L23">
            <v>1</v>
          </cell>
          <cell r="M23">
            <v>1</v>
          </cell>
          <cell r="N23">
            <v>1</v>
          </cell>
          <cell r="O23">
            <v>1</v>
          </cell>
          <cell r="P23">
            <v>1</v>
          </cell>
          <cell r="Q23">
            <v>1</v>
          </cell>
          <cell r="R23">
            <v>1</v>
          </cell>
          <cell r="S23">
            <v>1</v>
          </cell>
          <cell r="T23">
            <v>1</v>
          </cell>
          <cell r="U23">
            <v>1</v>
          </cell>
          <cell r="V23">
            <v>1</v>
          </cell>
          <cell r="W23">
            <v>1</v>
          </cell>
          <cell r="X23">
            <v>1</v>
          </cell>
          <cell r="Y23">
            <v>0.8</v>
          </cell>
          <cell r="Z23">
            <v>0.8</v>
          </cell>
          <cell r="AA23">
            <v>0.8</v>
          </cell>
          <cell r="AB23">
            <v>0.8</v>
          </cell>
          <cell r="AC23">
            <v>0.8</v>
          </cell>
          <cell r="AD23">
            <v>0.8</v>
          </cell>
          <cell r="AE23">
            <v>0.8</v>
          </cell>
          <cell r="AF23">
            <v>0.8</v>
          </cell>
          <cell r="AG23">
            <v>0.8</v>
          </cell>
          <cell r="AH23">
            <v>0.8</v>
          </cell>
          <cell r="AI23">
            <v>0.8</v>
          </cell>
          <cell r="AJ23">
            <v>0.8</v>
          </cell>
          <cell r="AK23">
            <v>0.8</v>
          </cell>
          <cell r="AL23">
            <v>0.8</v>
          </cell>
          <cell r="AM23">
            <v>0.8</v>
          </cell>
          <cell r="AN23">
            <v>0.8</v>
          </cell>
          <cell r="AO23">
            <v>0.8</v>
          </cell>
          <cell r="AP23">
            <v>0.8</v>
          </cell>
          <cell r="AQ23">
            <v>0.8</v>
          </cell>
          <cell r="AR23">
            <v>0.8</v>
          </cell>
          <cell r="AS23">
            <v>0.8</v>
          </cell>
          <cell r="AT23">
            <v>0.8</v>
          </cell>
          <cell r="AU23">
            <v>0.9</v>
          </cell>
          <cell r="AV23">
            <v>0.9</v>
          </cell>
          <cell r="AW23">
            <v>0.9</v>
          </cell>
          <cell r="AX23">
            <v>0.9</v>
          </cell>
          <cell r="AY23">
            <v>0.9</v>
          </cell>
          <cell r="AZ23">
            <v>0.9</v>
          </cell>
          <cell r="BA23">
            <v>0.9</v>
          </cell>
          <cell r="BB23">
            <v>0.9</v>
          </cell>
          <cell r="BC23">
            <v>0.9</v>
          </cell>
          <cell r="BD23">
            <v>0.9</v>
          </cell>
          <cell r="BE23">
            <v>0.9</v>
          </cell>
          <cell r="BF23">
            <v>0.9</v>
          </cell>
          <cell r="BG23">
            <v>0.9</v>
          </cell>
          <cell r="BH23">
            <v>0.9</v>
          </cell>
          <cell r="BI23">
            <v>0.9</v>
          </cell>
          <cell r="BJ23">
            <v>0.9</v>
          </cell>
          <cell r="BK23">
            <v>0.9</v>
          </cell>
          <cell r="BL23">
            <v>0.9</v>
          </cell>
          <cell r="BM23">
            <v>0.9</v>
          </cell>
          <cell r="BN23">
            <v>0.9</v>
          </cell>
          <cell r="BO23">
            <v>0.9</v>
          </cell>
          <cell r="BP23">
            <v>0.9</v>
          </cell>
          <cell r="BQ23">
            <v>1.1499999999999999</v>
          </cell>
          <cell r="BR23">
            <v>1.1499999999999999</v>
          </cell>
          <cell r="BS23">
            <v>1.1499999999999999</v>
          </cell>
          <cell r="BT23">
            <v>1.1499999999999999</v>
          </cell>
          <cell r="BU23">
            <v>1.1499999999999999</v>
          </cell>
          <cell r="BV23">
            <v>1.1499999999999999</v>
          </cell>
          <cell r="BW23">
            <v>1.1499999999999999</v>
          </cell>
          <cell r="BX23">
            <v>1.1499999999999999</v>
          </cell>
          <cell r="BY23">
            <v>1.1499999999999999</v>
          </cell>
          <cell r="BZ23">
            <v>1.1499999999999999</v>
          </cell>
          <cell r="CA23">
            <v>1.1499999999999999</v>
          </cell>
          <cell r="CB23">
            <v>1.1499999999999999</v>
          </cell>
          <cell r="CC23">
            <v>1.1499999999999999</v>
          </cell>
          <cell r="CD23">
            <v>1.1499999999999999</v>
          </cell>
          <cell r="CE23">
            <v>1.1499999999999999</v>
          </cell>
          <cell r="CF23">
            <v>1.1499999999999999</v>
          </cell>
          <cell r="CG23">
            <v>1.1499999999999999</v>
          </cell>
          <cell r="CH23">
            <v>1.1499999999999999</v>
          </cell>
          <cell r="CI23">
            <v>1.1499999999999999</v>
          </cell>
          <cell r="CJ23">
            <v>1.1499999999999999</v>
          </cell>
          <cell r="CK23">
            <v>1.1499999999999999</v>
          </cell>
          <cell r="CL23">
            <v>1.1499999999999999</v>
          </cell>
        </row>
        <row r="24">
          <cell r="A24" t="str">
            <v>HARDCO Efficiencies - Additional Payment Methods</v>
          </cell>
          <cell r="B24" t="str">
            <v>CO Efficiencies - Additional Payment Methods</v>
          </cell>
          <cell r="C24">
            <v>1</v>
          </cell>
          <cell r="D24">
            <v>1</v>
          </cell>
          <cell r="E24">
            <v>1</v>
          </cell>
          <cell r="F24">
            <v>1</v>
          </cell>
          <cell r="G24">
            <v>1</v>
          </cell>
          <cell r="H24">
            <v>1</v>
          </cell>
          <cell r="I24">
            <v>1</v>
          </cell>
          <cell r="J24">
            <v>1</v>
          </cell>
          <cell r="K24">
            <v>1</v>
          </cell>
          <cell r="L24">
            <v>1</v>
          </cell>
          <cell r="M24">
            <v>1</v>
          </cell>
          <cell r="N24">
            <v>1</v>
          </cell>
          <cell r="O24">
            <v>1</v>
          </cell>
          <cell r="P24">
            <v>1</v>
          </cell>
          <cell r="Q24">
            <v>1</v>
          </cell>
          <cell r="R24">
            <v>1</v>
          </cell>
          <cell r="S24">
            <v>1</v>
          </cell>
          <cell r="T24">
            <v>1</v>
          </cell>
          <cell r="U24">
            <v>1</v>
          </cell>
          <cell r="V24">
            <v>1</v>
          </cell>
          <cell r="W24">
            <v>1</v>
          </cell>
          <cell r="X24">
            <v>1</v>
          </cell>
          <cell r="Y24">
            <v>0.8</v>
          </cell>
          <cell r="Z24">
            <v>0.8</v>
          </cell>
          <cell r="AA24">
            <v>0.8</v>
          </cell>
          <cell r="AB24">
            <v>0.8</v>
          </cell>
          <cell r="AC24">
            <v>0.8</v>
          </cell>
          <cell r="AD24">
            <v>0.8</v>
          </cell>
          <cell r="AE24">
            <v>0.8</v>
          </cell>
          <cell r="AF24">
            <v>0.8</v>
          </cell>
          <cell r="AG24">
            <v>0.8</v>
          </cell>
          <cell r="AH24">
            <v>0.8</v>
          </cell>
          <cell r="AI24">
            <v>0.8</v>
          </cell>
          <cell r="AJ24">
            <v>0.8</v>
          </cell>
          <cell r="AK24">
            <v>0.8</v>
          </cell>
          <cell r="AL24">
            <v>0.8</v>
          </cell>
          <cell r="AM24">
            <v>0.8</v>
          </cell>
          <cell r="AN24">
            <v>0.8</v>
          </cell>
          <cell r="AO24">
            <v>0.8</v>
          </cell>
          <cell r="AP24">
            <v>0.8</v>
          </cell>
          <cell r="AQ24">
            <v>0.8</v>
          </cell>
          <cell r="AR24">
            <v>0.8</v>
          </cell>
          <cell r="AS24">
            <v>0.8</v>
          </cell>
          <cell r="AT24">
            <v>0.8</v>
          </cell>
          <cell r="AU24">
            <v>0.9</v>
          </cell>
          <cell r="AV24">
            <v>0.9</v>
          </cell>
          <cell r="AW24">
            <v>0.9</v>
          </cell>
          <cell r="AX24">
            <v>0.9</v>
          </cell>
          <cell r="AY24">
            <v>0.9</v>
          </cell>
          <cell r="AZ24">
            <v>0.9</v>
          </cell>
          <cell r="BA24">
            <v>0.9</v>
          </cell>
          <cell r="BB24">
            <v>0.9</v>
          </cell>
          <cell r="BC24">
            <v>0.9</v>
          </cell>
          <cell r="BD24">
            <v>0.9</v>
          </cell>
          <cell r="BE24">
            <v>0.9</v>
          </cell>
          <cell r="BF24">
            <v>0.9</v>
          </cell>
          <cell r="BG24">
            <v>0.9</v>
          </cell>
          <cell r="BH24">
            <v>0.9</v>
          </cell>
          <cell r="BI24">
            <v>0.9</v>
          </cell>
          <cell r="BJ24">
            <v>0.9</v>
          </cell>
          <cell r="BK24">
            <v>0.9</v>
          </cell>
          <cell r="BL24">
            <v>0.9</v>
          </cell>
          <cell r="BM24">
            <v>0.9</v>
          </cell>
          <cell r="BN24">
            <v>0.9</v>
          </cell>
          <cell r="BO24">
            <v>0.9</v>
          </cell>
          <cell r="BP24">
            <v>0.9</v>
          </cell>
          <cell r="BQ24">
            <v>1.1499999999999999</v>
          </cell>
          <cell r="BR24">
            <v>1.1499999999999999</v>
          </cell>
          <cell r="BS24">
            <v>1.1499999999999999</v>
          </cell>
          <cell r="BT24">
            <v>1.1499999999999999</v>
          </cell>
          <cell r="BU24">
            <v>1.1499999999999999</v>
          </cell>
          <cell r="BV24">
            <v>1.1499999999999999</v>
          </cell>
          <cell r="BW24">
            <v>1.1499999999999999</v>
          </cell>
          <cell r="BX24">
            <v>1.1499999999999999</v>
          </cell>
          <cell r="BY24">
            <v>1.1499999999999999</v>
          </cell>
          <cell r="BZ24">
            <v>1.1499999999999999</v>
          </cell>
          <cell r="CA24">
            <v>1.1499999999999999</v>
          </cell>
          <cell r="CB24">
            <v>1.1499999999999999</v>
          </cell>
          <cell r="CC24">
            <v>1.1499999999999999</v>
          </cell>
          <cell r="CD24">
            <v>1.1499999999999999</v>
          </cell>
          <cell r="CE24">
            <v>1.1499999999999999</v>
          </cell>
          <cell r="CF24">
            <v>1.1499999999999999</v>
          </cell>
          <cell r="CG24">
            <v>1.1499999999999999</v>
          </cell>
          <cell r="CH24">
            <v>1.1499999999999999</v>
          </cell>
          <cell r="CI24">
            <v>1.1499999999999999</v>
          </cell>
          <cell r="CJ24">
            <v>1.1499999999999999</v>
          </cell>
          <cell r="CK24">
            <v>1.1499999999999999</v>
          </cell>
          <cell r="CL24">
            <v>1.1499999999999999</v>
          </cell>
        </row>
        <row r="25">
          <cell r="A25" t="str">
            <v>HARDCO Efficiencies - Self-Service</v>
          </cell>
          <cell r="B25" t="str">
            <v>CO Efficiencies - Self-Service</v>
          </cell>
          <cell r="C25">
            <v>1</v>
          </cell>
          <cell r="D25">
            <v>1</v>
          </cell>
          <cell r="E25">
            <v>1</v>
          </cell>
          <cell r="F25">
            <v>1</v>
          </cell>
          <cell r="G25">
            <v>1</v>
          </cell>
          <cell r="H25">
            <v>1</v>
          </cell>
          <cell r="I25">
            <v>1</v>
          </cell>
          <cell r="J25">
            <v>1</v>
          </cell>
          <cell r="K25">
            <v>1</v>
          </cell>
          <cell r="L25">
            <v>1</v>
          </cell>
          <cell r="M25">
            <v>1</v>
          </cell>
          <cell r="N25">
            <v>1</v>
          </cell>
          <cell r="O25">
            <v>1</v>
          </cell>
          <cell r="P25">
            <v>1</v>
          </cell>
          <cell r="Q25">
            <v>1</v>
          </cell>
          <cell r="R25">
            <v>1</v>
          </cell>
          <cell r="S25">
            <v>1</v>
          </cell>
          <cell r="T25">
            <v>1</v>
          </cell>
          <cell r="U25">
            <v>1</v>
          </cell>
          <cell r="V25">
            <v>1</v>
          </cell>
          <cell r="W25">
            <v>1</v>
          </cell>
          <cell r="X25">
            <v>1</v>
          </cell>
          <cell r="Y25">
            <v>0.8</v>
          </cell>
          <cell r="Z25">
            <v>0.8</v>
          </cell>
          <cell r="AA25">
            <v>0.8</v>
          </cell>
          <cell r="AB25">
            <v>0.8</v>
          </cell>
          <cell r="AC25">
            <v>0.8</v>
          </cell>
          <cell r="AD25">
            <v>0.8</v>
          </cell>
          <cell r="AE25">
            <v>0.8</v>
          </cell>
          <cell r="AF25">
            <v>0.8</v>
          </cell>
          <cell r="AG25">
            <v>0.8</v>
          </cell>
          <cell r="AH25">
            <v>0.8</v>
          </cell>
          <cell r="AI25">
            <v>0.8</v>
          </cell>
          <cell r="AJ25">
            <v>0.8</v>
          </cell>
          <cell r="AK25">
            <v>0.8</v>
          </cell>
          <cell r="AL25">
            <v>0.8</v>
          </cell>
          <cell r="AM25">
            <v>0.8</v>
          </cell>
          <cell r="AN25">
            <v>0.8</v>
          </cell>
          <cell r="AO25">
            <v>0.8</v>
          </cell>
          <cell r="AP25">
            <v>0.8</v>
          </cell>
          <cell r="AQ25">
            <v>0.8</v>
          </cell>
          <cell r="AR25">
            <v>0.8</v>
          </cell>
          <cell r="AS25">
            <v>0.8</v>
          </cell>
          <cell r="AT25">
            <v>0.8</v>
          </cell>
          <cell r="AU25">
            <v>0.9</v>
          </cell>
          <cell r="AV25">
            <v>0.9</v>
          </cell>
          <cell r="AW25">
            <v>0.9</v>
          </cell>
          <cell r="AX25">
            <v>0.9</v>
          </cell>
          <cell r="AY25">
            <v>0.9</v>
          </cell>
          <cell r="AZ25">
            <v>0.9</v>
          </cell>
          <cell r="BA25">
            <v>0.9</v>
          </cell>
          <cell r="BB25">
            <v>0.9</v>
          </cell>
          <cell r="BC25">
            <v>0.9</v>
          </cell>
          <cell r="BD25">
            <v>0.9</v>
          </cell>
          <cell r="BE25">
            <v>0.9</v>
          </cell>
          <cell r="BF25">
            <v>0.9</v>
          </cell>
          <cell r="BG25">
            <v>0.9</v>
          </cell>
          <cell r="BH25">
            <v>0.9</v>
          </cell>
          <cell r="BI25">
            <v>0.9</v>
          </cell>
          <cell r="BJ25">
            <v>0.9</v>
          </cell>
          <cell r="BK25">
            <v>0.9</v>
          </cell>
          <cell r="BL25">
            <v>0.9</v>
          </cell>
          <cell r="BM25">
            <v>0.9</v>
          </cell>
          <cell r="BN25">
            <v>0.9</v>
          </cell>
          <cell r="BO25">
            <v>0.9</v>
          </cell>
          <cell r="BP25">
            <v>0.9</v>
          </cell>
          <cell r="BQ25">
            <v>1.1499999999999999</v>
          </cell>
          <cell r="BR25">
            <v>1.1499999999999999</v>
          </cell>
          <cell r="BS25">
            <v>1.1499999999999999</v>
          </cell>
          <cell r="BT25">
            <v>1.1499999999999999</v>
          </cell>
          <cell r="BU25">
            <v>1.1499999999999999</v>
          </cell>
          <cell r="BV25">
            <v>1.1499999999999999</v>
          </cell>
          <cell r="BW25">
            <v>1.1499999999999999</v>
          </cell>
          <cell r="BX25">
            <v>1.1499999999999999</v>
          </cell>
          <cell r="BY25">
            <v>1.1499999999999999</v>
          </cell>
          <cell r="BZ25">
            <v>1.1499999999999999</v>
          </cell>
          <cell r="CA25">
            <v>1.1499999999999999</v>
          </cell>
          <cell r="CB25">
            <v>1.1499999999999999</v>
          </cell>
          <cell r="CC25">
            <v>1.1499999999999999</v>
          </cell>
          <cell r="CD25">
            <v>1.1499999999999999</v>
          </cell>
          <cell r="CE25">
            <v>1.1499999999999999</v>
          </cell>
          <cell r="CF25">
            <v>1.1499999999999999</v>
          </cell>
          <cell r="CG25">
            <v>1.1499999999999999</v>
          </cell>
          <cell r="CH25">
            <v>1.1499999999999999</v>
          </cell>
          <cell r="CI25">
            <v>1.1499999999999999</v>
          </cell>
          <cell r="CJ25">
            <v>1.1499999999999999</v>
          </cell>
          <cell r="CK25">
            <v>1.1499999999999999</v>
          </cell>
          <cell r="CL25">
            <v>1.1499999999999999</v>
          </cell>
        </row>
        <row r="26">
          <cell r="A26" t="str">
            <v>HARDCO Efficiencies - Span of Control</v>
          </cell>
          <cell r="B26" t="str">
            <v>CO Efficiencies - Span of Control</v>
          </cell>
          <cell r="C26">
            <v>1</v>
          </cell>
          <cell r="D26">
            <v>1</v>
          </cell>
          <cell r="E26">
            <v>1</v>
          </cell>
          <cell r="F26">
            <v>1</v>
          </cell>
          <cell r="G26">
            <v>1</v>
          </cell>
          <cell r="H26">
            <v>1</v>
          </cell>
          <cell r="I26">
            <v>1</v>
          </cell>
          <cell r="J26">
            <v>1</v>
          </cell>
          <cell r="K26">
            <v>1</v>
          </cell>
          <cell r="L26">
            <v>1</v>
          </cell>
          <cell r="M26">
            <v>1</v>
          </cell>
          <cell r="N26">
            <v>1</v>
          </cell>
          <cell r="O26">
            <v>1</v>
          </cell>
          <cell r="P26">
            <v>1</v>
          </cell>
          <cell r="Q26">
            <v>1</v>
          </cell>
          <cell r="R26">
            <v>1</v>
          </cell>
          <cell r="S26">
            <v>1</v>
          </cell>
          <cell r="T26">
            <v>1</v>
          </cell>
          <cell r="U26">
            <v>1</v>
          </cell>
          <cell r="V26">
            <v>1</v>
          </cell>
          <cell r="W26">
            <v>1</v>
          </cell>
          <cell r="X26">
            <v>1</v>
          </cell>
          <cell r="Y26">
            <v>0.8</v>
          </cell>
          <cell r="Z26">
            <v>0.8</v>
          </cell>
          <cell r="AA26">
            <v>0.8</v>
          </cell>
          <cell r="AB26">
            <v>0.8</v>
          </cell>
          <cell r="AC26">
            <v>0.8</v>
          </cell>
          <cell r="AD26">
            <v>0.8</v>
          </cell>
          <cell r="AE26">
            <v>0.8</v>
          </cell>
          <cell r="AF26">
            <v>0.8</v>
          </cell>
          <cell r="AG26">
            <v>0.8</v>
          </cell>
          <cell r="AH26">
            <v>0.8</v>
          </cell>
          <cell r="AI26">
            <v>0.8</v>
          </cell>
          <cell r="AJ26">
            <v>0.8</v>
          </cell>
          <cell r="AK26">
            <v>0.8</v>
          </cell>
          <cell r="AL26">
            <v>0.8</v>
          </cell>
          <cell r="AM26">
            <v>0.8</v>
          </cell>
          <cell r="AN26">
            <v>0.8</v>
          </cell>
          <cell r="AO26">
            <v>0.8</v>
          </cell>
          <cell r="AP26">
            <v>0.8</v>
          </cell>
          <cell r="AQ26">
            <v>0.8</v>
          </cell>
          <cell r="AR26">
            <v>0.8</v>
          </cell>
          <cell r="AS26">
            <v>0.8</v>
          </cell>
          <cell r="AT26">
            <v>0.8</v>
          </cell>
          <cell r="AU26">
            <v>0.9</v>
          </cell>
          <cell r="AV26">
            <v>0.9</v>
          </cell>
          <cell r="AW26">
            <v>0.9</v>
          </cell>
          <cell r="AX26">
            <v>0.9</v>
          </cell>
          <cell r="AY26">
            <v>0.9</v>
          </cell>
          <cell r="AZ26">
            <v>0.9</v>
          </cell>
          <cell r="BA26">
            <v>0.9</v>
          </cell>
          <cell r="BB26">
            <v>0.9</v>
          </cell>
          <cell r="BC26">
            <v>0.9</v>
          </cell>
          <cell r="BD26">
            <v>0.9</v>
          </cell>
          <cell r="BE26">
            <v>0.9</v>
          </cell>
          <cell r="BF26">
            <v>0.9</v>
          </cell>
          <cell r="BG26">
            <v>0.9</v>
          </cell>
          <cell r="BH26">
            <v>0.9</v>
          </cell>
          <cell r="BI26">
            <v>0.9</v>
          </cell>
          <cell r="BJ26">
            <v>0.9</v>
          </cell>
          <cell r="BK26">
            <v>0.9</v>
          </cell>
          <cell r="BL26">
            <v>0.9</v>
          </cell>
          <cell r="BM26">
            <v>0.9</v>
          </cell>
          <cell r="BN26">
            <v>0.9</v>
          </cell>
          <cell r="BO26">
            <v>0.9</v>
          </cell>
          <cell r="BP26">
            <v>0.9</v>
          </cell>
          <cell r="BQ26">
            <v>1.1499999999999999</v>
          </cell>
          <cell r="BR26">
            <v>1.1499999999999999</v>
          </cell>
          <cell r="BS26">
            <v>1.1499999999999999</v>
          </cell>
          <cell r="BT26">
            <v>1.1499999999999999</v>
          </cell>
          <cell r="BU26">
            <v>1.1499999999999999</v>
          </cell>
          <cell r="BV26">
            <v>1.1499999999999999</v>
          </cell>
          <cell r="BW26">
            <v>1.1499999999999999</v>
          </cell>
          <cell r="BX26">
            <v>1.1499999999999999</v>
          </cell>
          <cell r="BY26">
            <v>1.1499999999999999</v>
          </cell>
          <cell r="BZ26">
            <v>1.1499999999999999</v>
          </cell>
          <cell r="CA26">
            <v>1.1499999999999999</v>
          </cell>
          <cell r="CB26">
            <v>1.1499999999999999</v>
          </cell>
          <cell r="CC26">
            <v>1.1499999999999999</v>
          </cell>
          <cell r="CD26">
            <v>1.1499999999999999</v>
          </cell>
          <cell r="CE26">
            <v>1.1499999999999999</v>
          </cell>
          <cell r="CF26">
            <v>1.1499999999999999</v>
          </cell>
          <cell r="CG26">
            <v>1.1499999999999999</v>
          </cell>
          <cell r="CH26">
            <v>1.1499999999999999</v>
          </cell>
          <cell r="CI26">
            <v>1.1499999999999999</v>
          </cell>
          <cell r="CJ26">
            <v>1.1499999999999999</v>
          </cell>
          <cell r="CK26">
            <v>1.1499999999999999</v>
          </cell>
          <cell r="CL26">
            <v>1.1499999999999999</v>
          </cell>
        </row>
        <row r="27">
          <cell r="A27" t="str">
            <v>HARDAll Else Efficiencies - Total</v>
          </cell>
          <cell r="B27" t="str">
            <v>All Else Efficiencies - Total</v>
          </cell>
          <cell r="C27">
            <v>1</v>
          </cell>
          <cell r="D27">
            <v>1</v>
          </cell>
          <cell r="E27">
            <v>1</v>
          </cell>
          <cell r="F27">
            <v>1</v>
          </cell>
          <cell r="G27">
            <v>1</v>
          </cell>
          <cell r="H27">
            <v>1</v>
          </cell>
          <cell r="I27">
            <v>1</v>
          </cell>
          <cell r="J27">
            <v>1</v>
          </cell>
          <cell r="K27">
            <v>1</v>
          </cell>
          <cell r="L27">
            <v>1</v>
          </cell>
          <cell r="M27">
            <v>1</v>
          </cell>
          <cell r="N27">
            <v>1</v>
          </cell>
          <cell r="O27">
            <v>1</v>
          </cell>
          <cell r="P27">
            <v>1</v>
          </cell>
          <cell r="Q27">
            <v>1</v>
          </cell>
          <cell r="R27">
            <v>1</v>
          </cell>
          <cell r="S27">
            <v>1</v>
          </cell>
          <cell r="T27">
            <v>1</v>
          </cell>
          <cell r="U27">
            <v>1</v>
          </cell>
          <cell r="V27">
            <v>1</v>
          </cell>
          <cell r="W27">
            <v>1</v>
          </cell>
          <cell r="X27">
            <v>1</v>
          </cell>
          <cell r="Y27">
            <v>0.8</v>
          </cell>
          <cell r="Z27">
            <v>0.8</v>
          </cell>
          <cell r="AA27">
            <v>0.8</v>
          </cell>
          <cell r="AB27">
            <v>0.8</v>
          </cell>
          <cell r="AC27">
            <v>0.8</v>
          </cell>
          <cell r="AD27">
            <v>0.8</v>
          </cell>
          <cell r="AE27">
            <v>0.8</v>
          </cell>
          <cell r="AF27">
            <v>0.8</v>
          </cell>
          <cell r="AG27">
            <v>0.8</v>
          </cell>
          <cell r="AH27">
            <v>0.8</v>
          </cell>
          <cell r="AI27">
            <v>0.8</v>
          </cell>
          <cell r="AJ27">
            <v>0.8</v>
          </cell>
          <cell r="AK27">
            <v>0.8</v>
          </cell>
          <cell r="AL27">
            <v>0.8</v>
          </cell>
          <cell r="AM27">
            <v>0.8</v>
          </cell>
          <cell r="AN27">
            <v>0.8</v>
          </cell>
          <cell r="AO27">
            <v>0.8</v>
          </cell>
          <cell r="AP27">
            <v>0.8</v>
          </cell>
          <cell r="AQ27">
            <v>0.8</v>
          </cell>
          <cell r="AR27">
            <v>0.8</v>
          </cell>
          <cell r="AS27">
            <v>0.8</v>
          </cell>
          <cell r="AT27">
            <v>0.8</v>
          </cell>
          <cell r="AU27">
            <v>0.9</v>
          </cell>
          <cell r="AV27">
            <v>0.9</v>
          </cell>
          <cell r="AW27">
            <v>0.9</v>
          </cell>
          <cell r="AX27">
            <v>0.9</v>
          </cell>
          <cell r="AY27">
            <v>0.9</v>
          </cell>
          <cell r="AZ27">
            <v>0.9</v>
          </cell>
          <cell r="BA27">
            <v>0.9</v>
          </cell>
          <cell r="BB27">
            <v>0.9</v>
          </cell>
          <cell r="BC27">
            <v>0.9</v>
          </cell>
          <cell r="BD27">
            <v>0.9</v>
          </cell>
          <cell r="BE27">
            <v>0.9</v>
          </cell>
          <cell r="BF27">
            <v>0.9</v>
          </cell>
          <cell r="BG27">
            <v>0.9</v>
          </cell>
          <cell r="BH27">
            <v>0.9</v>
          </cell>
          <cell r="BI27">
            <v>0.9</v>
          </cell>
          <cell r="BJ27">
            <v>0.9</v>
          </cell>
          <cell r="BK27">
            <v>0.9</v>
          </cell>
          <cell r="BL27">
            <v>0.9</v>
          </cell>
          <cell r="BM27">
            <v>0.9</v>
          </cell>
          <cell r="BN27">
            <v>0.9</v>
          </cell>
          <cell r="BO27">
            <v>0.9</v>
          </cell>
          <cell r="BP27">
            <v>0.9</v>
          </cell>
          <cell r="BQ27">
            <v>1.1499999999999999</v>
          </cell>
          <cell r="BR27">
            <v>1.1499999999999999</v>
          </cell>
          <cell r="BS27">
            <v>1.1499999999999999</v>
          </cell>
          <cell r="BT27">
            <v>1.1499999999999999</v>
          </cell>
          <cell r="BU27">
            <v>1.1499999999999999</v>
          </cell>
          <cell r="BV27">
            <v>1.1499999999999999</v>
          </cell>
          <cell r="BW27">
            <v>1.1499999999999999</v>
          </cell>
          <cell r="BX27">
            <v>1.1499999999999999</v>
          </cell>
          <cell r="BY27">
            <v>1.1499999999999999</v>
          </cell>
          <cell r="BZ27">
            <v>1.1499999999999999</v>
          </cell>
          <cell r="CA27">
            <v>1.1499999999999999</v>
          </cell>
          <cell r="CB27">
            <v>1.1499999999999999</v>
          </cell>
          <cell r="CC27">
            <v>1.1499999999999999</v>
          </cell>
          <cell r="CD27">
            <v>1.1499999999999999</v>
          </cell>
          <cell r="CE27">
            <v>1.1499999999999999</v>
          </cell>
          <cell r="CF27">
            <v>1.1499999999999999</v>
          </cell>
          <cell r="CG27">
            <v>1.1499999999999999</v>
          </cell>
          <cell r="CH27">
            <v>1.1499999999999999</v>
          </cell>
          <cell r="CI27">
            <v>1.1499999999999999</v>
          </cell>
          <cell r="CJ27">
            <v>1.1499999999999999</v>
          </cell>
          <cell r="CK27">
            <v>1.1499999999999999</v>
          </cell>
          <cell r="CL27">
            <v>1.1499999999999999</v>
          </cell>
        </row>
        <row r="28">
          <cell r="A28" t="str">
            <v>HARDPAS Last Cost Avoidance</v>
          </cell>
          <cell r="B28" t="str">
            <v>PAS Last Cost Avoidance</v>
          </cell>
          <cell r="C28">
            <v>1</v>
          </cell>
          <cell r="D28">
            <v>1</v>
          </cell>
          <cell r="E28">
            <v>1</v>
          </cell>
          <cell r="F28">
            <v>1</v>
          </cell>
          <cell r="G28">
            <v>1</v>
          </cell>
          <cell r="H28">
            <v>1</v>
          </cell>
          <cell r="I28">
            <v>1</v>
          </cell>
          <cell r="J28">
            <v>1</v>
          </cell>
          <cell r="K28">
            <v>1</v>
          </cell>
          <cell r="L28">
            <v>1</v>
          </cell>
          <cell r="M28">
            <v>1</v>
          </cell>
          <cell r="N28">
            <v>1</v>
          </cell>
          <cell r="O28">
            <v>1</v>
          </cell>
          <cell r="P28">
            <v>1</v>
          </cell>
          <cell r="Q28">
            <v>1</v>
          </cell>
          <cell r="R28">
            <v>1</v>
          </cell>
          <cell r="S28">
            <v>1</v>
          </cell>
          <cell r="T28">
            <v>1</v>
          </cell>
          <cell r="U28">
            <v>1</v>
          </cell>
          <cell r="V28">
            <v>1</v>
          </cell>
          <cell r="W28">
            <v>1</v>
          </cell>
          <cell r="X28">
            <v>1</v>
          </cell>
          <cell r="Y28">
            <v>0.8</v>
          </cell>
          <cell r="Z28">
            <v>0.8</v>
          </cell>
          <cell r="AA28">
            <v>0.8</v>
          </cell>
          <cell r="AB28">
            <v>0.8</v>
          </cell>
          <cell r="AC28">
            <v>0.8</v>
          </cell>
          <cell r="AD28">
            <v>0.8</v>
          </cell>
          <cell r="AE28">
            <v>0.8</v>
          </cell>
          <cell r="AF28">
            <v>0.8</v>
          </cell>
          <cell r="AG28">
            <v>0.8</v>
          </cell>
          <cell r="AH28">
            <v>0.8</v>
          </cell>
          <cell r="AI28">
            <v>0.8</v>
          </cell>
          <cell r="AJ28">
            <v>0.8</v>
          </cell>
          <cell r="AK28">
            <v>0.8</v>
          </cell>
          <cell r="AL28">
            <v>0.8</v>
          </cell>
          <cell r="AM28">
            <v>0.8</v>
          </cell>
          <cell r="AN28">
            <v>0.8</v>
          </cell>
          <cell r="AO28">
            <v>0.8</v>
          </cell>
          <cell r="AP28">
            <v>0.8</v>
          </cell>
          <cell r="AQ28">
            <v>0.8</v>
          </cell>
          <cell r="AR28">
            <v>0.8</v>
          </cell>
          <cell r="AS28">
            <v>0.8</v>
          </cell>
          <cell r="AT28">
            <v>0.8</v>
          </cell>
          <cell r="AU28">
            <v>0.9</v>
          </cell>
          <cell r="AV28">
            <v>0.9</v>
          </cell>
          <cell r="AW28">
            <v>0.9</v>
          </cell>
          <cell r="AX28">
            <v>0.9</v>
          </cell>
          <cell r="AY28">
            <v>0.9</v>
          </cell>
          <cell r="AZ28">
            <v>0.9</v>
          </cell>
          <cell r="BA28">
            <v>0.9</v>
          </cell>
          <cell r="BB28">
            <v>0.9</v>
          </cell>
          <cell r="BC28">
            <v>0.9</v>
          </cell>
          <cell r="BD28">
            <v>0.9</v>
          </cell>
          <cell r="BE28">
            <v>0.9</v>
          </cell>
          <cell r="BF28">
            <v>0.9</v>
          </cell>
          <cell r="BG28">
            <v>0.9</v>
          </cell>
          <cell r="BH28">
            <v>0.9</v>
          </cell>
          <cell r="BI28">
            <v>0.9</v>
          </cell>
          <cell r="BJ28">
            <v>0.9</v>
          </cell>
          <cell r="BK28">
            <v>0.9</v>
          </cell>
          <cell r="BL28">
            <v>0.9</v>
          </cell>
          <cell r="BM28">
            <v>0.9</v>
          </cell>
          <cell r="BN28">
            <v>0.9</v>
          </cell>
          <cell r="BO28">
            <v>0.9</v>
          </cell>
          <cell r="BP28">
            <v>0.9</v>
          </cell>
          <cell r="BQ28">
            <v>1.1499999999999999</v>
          </cell>
          <cell r="BR28">
            <v>1.1499999999999999</v>
          </cell>
          <cell r="BS28">
            <v>1.1499999999999999</v>
          </cell>
          <cell r="BT28">
            <v>1.1499999999999999</v>
          </cell>
          <cell r="BU28">
            <v>1.1499999999999999</v>
          </cell>
          <cell r="BV28">
            <v>1.1499999999999999</v>
          </cell>
          <cell r="BW28">
            <v>1.1499999999999999</v>
          </cell>
          <cell r="BX28">
            <v>1.1499999999999999</v>
          </cell>
          <cell r="BY28">
            <v>1.1499999999999999</v>
          </cell>
          <cell r="BZ28">
            <v>1.1499999999999999</v>
          </cell>
          <cell r="CA28">
            <v>1.1499999999999999</v>
          </cell>
          <cell r="CB28">
            <v>1.1499999999999999</v>
          </cell>
          <cell r="CC28">
            <v>1.1499999999999999</v>
          </cell>
          <cell r="CD28">
            <v>1.1499999999999999</v>
          </cell>
          <cell r="CE28">
            <v>1.1499999999999999</v>
          </cell>
          <cell r="CF28">
            <v>1.1499999999999999</v>
          </cell>
          <cell r="CG28">
            <v>1.1499999999999999</v>
          </cell>
          <cell r="CH28">
            <v>1.1499999999999999</v>
          </cell>
          <cell r="CI28">
            <v>1.1499999999999999</v>
          </cell>
          <cell r="CJ28">
            <v>1.1499999999999999</v>
          </cell>
          <cell r="CK28">
            <v>1.1499999999999999</v>
          </cell>
          <cell r="CL28">
            <v>1.1499999999999999</v>
          </cell>
        </row>
        <row r="29">
          <cell r="A29" t="str">
            <v>HARD</v>
          </cell>
          <cell r="B29">
            <v>0</v>
          </cell>
          <cell r="C29">
            <v>1</v>
          </cell>
          <cell r="D29">
            <v>1</v>
          </cell>
          <cell r="E29">
            <v>1</v>
          </cell>
          <cell r="F29">
            <v>1</v>
          </cell>
          <cell r="G29">
            <v>1</v>
          </cell>
          <cell r="H29">
            <v>1</v>
          </cell>
          <cell r="I29">
            <v>1</v>
          </cell>
          <cell r="J29">
            <v>1</v>
          </cell>
          <cell r="K29">
            <v>1</v>
          </cell>
          <cell r="L29">
            <v>1</v>
          </cell>
          <cell r="M29">
            <v>1</v>
          </cell>
          <cell r="N29">
            <v>1</v>
          </cell>
          <cell r="O29">
            <v>1</v>
          </cell>
          <cell r="P29">
            <v>1</v>
          </cell>
          <cell r="Q29">
            <v>1</v>
          </cell>
          <cell r="R29">
            <v>1</v>
          </cell>
          <cell r="S29">
            <v>1</v>
          </cell>
          <cell r="T29">
            <v>1</v>
          </cell>
          <cell r="U29">
            <v>1</v>
          </cell>
          <cell r="V29">
            <v>1</v>
          </cell>
          <cell r="W29">
            <v>1</v>
          </cell>
          <cell r="X29">
            <v>1</v>
          </cell>
          <cell r="Y29">
            <v>0.8</v>
          </cell>
          <cell r="Z29">
            <v>0.8</v>
          </cell>
          <cell r="AA29">
            <v>0.8</v>
          </cell>
          <cell r="AB29">
            <v>0.8</v>
          </cell>
          <cell r="AC29">
            <v>0.8</v>
          </cell>
          <cell r="AD29">
            <v>0.8</v>
          </cell>
          <cell r="AE29">
            <v>0.8</v>
          </cell>
          <cell r="AF29">
            <v>0.8</v>
          </cell>
          <cell r="AG29">
            <v>0.8</v>
          </cell>
          <cell r="AH29">
            <v>0.8</v>
          </cell>
          <cell r="AI29">
            <v>0.8</v>
          </cell>
          <cell r="AJ29">
            <v>0.8</v>
          </cell>
          <cell r="AK29">
            <v>0.8</v>
          </cell>
          <cell r="AL29">
            <v>0.8</v>
          </cell>
          <cell r="AM29">
            <v>0.8</v>
          </cell>
          <cell r="AN29">
            <v>0.8</v>
          </cell>
          <cell r="AO29">
            <v>0.8</v>
          </cell>
          <cell r="AP29">
            <v>0.8</v>
          </cell>
          <cell r="AQ29">
            <v>0.8</v>
          </cell>
          <cell r="AR29">
            <v>0.8</v>
          </cell>
          <cell r="AS29">
            <v>0.8</v>
          </cell>
          <cell r="AT29">
            <v>0.8</v>
          </cell>
          <cell r="AU29">
            <v>0.9</v>
          </cell>
          <cell r="AV29">
            <v>0.9</v>
          </cell>
          <cell r="AW29">
            <v>0.9</v>
          </cell>
          <cell r="AX29">
            <v>0.9</v>
          </cell>
          <cell r="AY29">
            <v>0.9</v>
          </cell>
          <cell r="AZ29">
            <v>0.9</v>
          </cell>
          <cell r="BA29">
            <v>0.9</v>
          </cell>
          <cell r="BB29">
            <v>0.9</v>
          </cell>
          <cell r="BC29">
            <v>0.9</v>
          </cell>
          <cell r="BD29">
            <v>0.9</v>
          </cell>
          <cell r="BE29">
            <v>0.9</v>
          </cell>
          <cell r="BF29">
            <v>0.9</v>
          </cell>
          <cell r="BG29">
            <v>0.9</v>
          </cell>
          <cell r="BH29">
            <v>0.9</v>
          </cell>
          <cell r="BI29">
            <v>0.9</v>
          </cell>
          <cell r="BJ29">
            <v>0.9</v>
          </cell>
          <cell r="BK29">
            <v>0.9</v>
          </cell>
          <cell r="BL29">
            <v>0.9</v>
          </cell>
          <cell r="BM29">
            <v>0.9</v>
          </cell>
          <cell r="BN29">
            <v>0.9</v>
          </cell>
          <cell r="BO29">
            <v>0.9</v>
          </cell>
          <cell r="BP29">
            <v>0.9</v>
          </cell>
          <cell r="BQ29">
            <v>1.1499999999999999</v>
          </cell>
          <cell r="BR29">
            <v>1.1499999999999999</v>
          </cell>
          <cell r="BS29">
            <v>1.1499999999999999</v>
          </cell>
          <cell r="BT29">
            <v>1.1499999999999999</v>
          </cell>
          <cell r="BU29">
            <v>1.1499999999999999</v>
          </cell>
          <cell r="BV29">
            <v>1.1499999999999999</v>
          </cell>
          <cell r="BW29">
            <v>1.1499999999999999</v>
          </cell>
          <cell r="BX29">
            <v>1.1499999999999999</v>
          </cell>
          <cell r="BY29">
            <v>1.1499999999999999</v>
          </cell>
          <cell r="BZ29">
            <v>1.1499999999999999</v>
          </cell>
          <cell r="CA29">
            <v>1.1499999999999999</v>
          </cell>
          <cell r="CB29">
            <v>1.1499999999999999</v>
          </cell>
          <cell r="CC29">
            <v>1.1499999999999999</v>
          </cell>
          <cell r="CD29">
            <v>1.1499999999999999</v>
          </cell>
          <cell r="CE29">
            <v>1.1499999999999999</v>
          </cell>
          <cell r="CF29">
            <v>1.1499999999999999</v>
          </cell>
          <cell r="CG29">
            <v>1.1499999999999999</v>
          </cell>
          <cell r="CH29">
            <v>1.1499999999999999</v>
          </cell>
          <cell r="CI29">
            <v>1.1499999999999999</v>
          </cell>
          <cell r="CJ29">
            <v>1.1499999999999999</v>
          </cell>
          <cell r="CK29">
            <v>1.1499999999999999</v>
          </cell>
          <cell r="CL29">
            <v>1.1499999999999999</v>
          </cell>
        </row>
        <row r="30">
          <cell r="A30" t="str">
            <v>HARD</v>
          </cell>
          <cell r="B30">
            <v>0</v>
          </cell>
          <cell r="C30">
            <v>1</v>
          </cell>
          <cell r="D30">
            <v>1</v>
          </cell>
          <cell r="E30">
            <v>1</v>
          </cell>
          <cell r="F30">
            <v>1</v>
          </cell>
          <cell r="G30">
            <v>1</v>
          </cell>
          <cell r="H30">
            <v>1</v>
          </cell>
          <cell r="I30">
            <v>1</v>
          </cell>
          <cell r="J30">
            <v>1</v>
          </cell>
          <cell r="K30">
            <v>1</v>
          </cell>
          <cell r="L30">
            <v>1</v>
          </cell>
          <cell r="M30">
            <v>1</v>
          </cell>
          <cell r="N30">
            <v>1</v>
          </cell>
          <cell r="O30">
            <v>1</v>
          </cell>
          <cell r="P30">
            <v>1</v>
          </cell>
          <cell r="Q30">
            <v>1</v>
          </cell>
          <cell r="R30">
            <v>1</v>
          </cell>
          <cell r="S30">
            <v>1</v>
          </cell>
          <cell r="T30">
            <v>1</v>
          </cell>
          <cell r="U30">
            <v>1</v>
          </cell>
          <cell r="V30">
            <v>1</v>
          </cell>
          <cell r="W30">
            <v>1</v>
          </cell>
          <cell r="X30">
            <v>1</v>
          </cell>
          <cell r="Y30">
            <v>0.8</v>
          </cell>
          <cell r="Z30">
            <v>0.8</v>
          </cell>
          <cell r="AA30">
            <v>0.8</v>
          </cell>
          <cell r="AB30">
            <v>0.8</v>
          </cell>
          <cell r="AC30">
            <v>0.8</v>
          </cell>
          <cell r="AD30">
            <v>0.8</v>
          </cell>
          <cell r="AE30">
            <v>0.8</v>
          </cell>
          <cell r="AF30">
            <v>0.8</v>
          </cell>
          <cell r="AG30">
            <v>0.8</v>
          </cell>
          <cell r="AH30">
            <v>0.8</v>
          </cell>
          <cell r="AI30">
            <v>0.8</v>
          </cell>
          <cell r="AJ30">
            <v>0.8</v>
          </cell>
          <cell r="AK30">
            <v>0.8</v>
          </cell>
          <cell r="AL30">
            <v>0.8</v>
          </cell>
          <cell r="AM30">
            <v>0.8</v>
          </cell>
          <cell r="AN30">
            <v>0.8</v>
          </cell>
          <cell r="AO30">
            <v>0.8</v>
          </cell>
          <cell r="AP30">
            <v>0.8</v>
          </cell>
          <cell r="AQ30">
            <v>0.8</v>
          </cell>
          <cell r="AR30">
            <v>0.8</v>
          </cell>
          <cell r="AS30">
            <v>0.8</v>
          </cell>
          <cell r="AT30">
            <v>0.8</v>
          </cell>
          <cell r="AU30">
            <v>0.9</v>
          </cell>
          <cell r="AV30">
            <v>0.9</v>
          </cell>
          <cell r="AW30">
            <v>0.9</v>
          </cell>
          <cell r="AX30">
            <v>0.9</v>
          </cell>
          <cell r="AY30">
            <v>0.9</v>
          </cell>
          <cell r="AZ30">
            <v>0.9</v>
          </cell>
          <cell r="BA30">
            <v>0.9</v>
          </cell>
          <cell r="BB30">
            <v>0.9</v>
          </cell>
          <cell r="BC30">
            <v>0.9</v>
          </cell>
          <cell r="BD30">
            <v>0.9</v>
          </cell>
          <cell r="BE30">
            <v>0.9</v>
          </cell>
          <cell r="BF30">
            <v>0.9</v>
          </cell>
          <cell r="BG30">
            <v>0.9</v>
          </cell>
          <cell r="BH30">
            <v>0.9</v>
          </cell>
          <cell r="BI30">
            <v>0.9</v>
          </cell>
          <cell r="BJ30">
            <v>0.9</v>
          </cell>
          <cell r="BK30">
            <v>0.9</v>
          </cell>
          <cell r="BL30">
            <v>0.9</v>
          </cell>
          <cell r="BM30">
            <v>0.9</v>
          </cell>
          <cell r="BN30">
            <v>0.9</v>
          </cell>
          <cell r="BO30">
            <v>0.9</v>
          </cell>
          <cell r="BP30">
            <v>0.9</v>
          </cell>
          <cell r="BQ30">
            <v>1.1499999999999999</v>
          </cell>
          <cell r="BR30">
            <v>1.1499999999999999</v>
          </cell>
          <cell r="BS30">
            <v>1.1499999999999999</v>
          </cell>
          <cell r="BT30">
            <v>1.1499999999999999</v>
          </cell>
          <cell r="BU30">
            <v>1.1499999999999999</v>
          </cell>
          <cell r="BV30">
            <v>1.1499999999999999</v>
          </cell>
          <cell r="BW30">
            <v>1.1499999999999999</v>
          </cell>
          <cell r="BX30">
            <v>1.1499999999999999</v>
          </cell>
          <cell r="BY30">
            <v>1.1499999999999999</v>
          </cell>
          <cell r="BZ30">
            <v>1.1499999999999999</v>
          </cell>
          <cell r="CA30">
            <v>1.1499999999999999</v>
          </cell>
          <cell r="CB30">
            <v>1.1499999999999999</v>
          </cell>
          <cell r="CC30">
            <v>1.1499999999999999</v>
          </cell>
          <cell r="CD30">
            <v>1.1499999999999999</v>
          </cell>
          <cell r="CE30">
            <v>1.1499999999999999</v>
          </cell>
          <cell r="CF30">
            <v>1.1499999999999999</v>
          </cell>
          <cell r="CG30">
            <v>1.1499999999999999</v>
          </cell>
          <cell r="CH30">
            <v>1.1499999999999999</v>
          </cell>
          <cell r="CI30">
            <v>1.1499999999999999</v>
          </cell>
          <cell r="CJ30">
            <v>1.1499999999999999</v>
          </cell>
          <cell r="CK30">
            <v>1.1499999999999999</v>
          </cell>
          <cell r="CL30">
            <v>1.1499999999999999</v>
          </cell>
        </row>
        <row r="31">
          <cell r="A31" t="str">
            <v>HARD</v>
          </cell>
          <cell r="B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row>
        <row r="32">
          <cell r="A32" t="str">
            <v>HARD</v>
          </cell>
          <cell r="B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row>
        <row r="33">
          <cell r="A33" t="str">
            <v>HARD</v>
          </cell>
          <cell r="B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row>
        <row r="34">
          <cell r="A34" t="str">
            <v>HARD</v>
          </cell>
          <cell r="B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row>
        <row r="35">
          <cell r="A35" t="str">
            <v>HARD</v>
          </cell>
          <cell r="B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row>
        <row r="36">
          <cell r="A36" t="str">
            <v>HARD</v>
          </cell>
          <cell r="B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row>
        <row r="37">
          <cell r="A37" t="str">
            <v>HARD</v>
          </cell>
          <cell r="B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row>
        <row r="38">
          <cell r="A38" t="str">
            <v>HARD</v>
          </cell>
          <cell r="B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row>
        <row r="39">
          <cell r="A39" t="str">
            <v>HARD</v>
          </cell>
          <cell r="B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row>
        <row r="41">
          <cell r="A41" t="str">
            <v>SOFT</v>
          </cell>
          <cell r="B41" t="str">
            <v>Soft Benefits</v>
          </cell>
        </row>
        <row r="42">
          <cell r="A42" t="str">
            <v>SOFTPersonnel</v>
          </cell>
          <cell r="B42" t="str">
            <v>Personnel</v>
          </cell>
          <cell r="C42">
            <v>1</v>
          </cell>
          <cell r="D42">
            <v>1</v>
          </cell>
          <cell r="E42">
            <v>1</v>
          </cell>
          <cell r="F42">
            <v>1</v>
          </cell>
          <cell r="G42">
            <v>1</v>
          </cell>
          <cell r="H42">
            <v>1</v>
          </cell>
          <cell r="I42">
            <v>1</v>
          </cell>
          <cell r="J42">
            <v>1</v>
          </cell>
          <cell r="K42">
            <v>1</v>
          </cell>
          <cell r="L42">
            <v>1</v>
          </cell>
          <cell r="M42">
            <v>1</v>
          </cell>
          <cell r="N42">
            <v>1</v>
          </cell>
          <cell r="O42">
            <v>1</v>
          </cell>
          <cell r="P42">
            <v>1</v>
          </cell>
          <cell r="Q42">
            <v>1</v>
          </cell>
          <cell r="R42">
            <v>1</v>
          </cell>
          <cell r="S42">
            <v>1</v>
          </cell>
          <cell r="T42">
            <v>1</v>
          </cell>
          <cell r="U42">
            <v>1</v>
          </cell>
          <cell r="V42">
            <v>1</v>
          </cell>
          <cell r="W42">
            <v>1</v>
          </cell>
          <cell r="X42">
            <v>1</v>
          </cell>
          <cell r="Y42">
            <v>0.8</v>
          </cell>
          <cell r="Z42">
            <v>0.8</v>
          </cell>
          <cell r="AA42">
            <v>0.8</v>
          </cell>
          <cell r="AB42">
            <v>0.8</v>
          </cell>
          <cell r="AC42">
            <v>0.8</v>
          </cell>
          <cell r="AD42">
            <v>0.8</v>
          </cell>
          <cell r="AE42">
            <v>0.8</v>
          </cell>
          <cell r="AF42">
            <v>0.8</v>
          </cell>
          <cell r="AG42">
            <v>0.8</v>
          </cell>
          <cell r="AH42">
            <v>0.8</v>
          </cell>
          <cell r="AI42">
            <v>0.8</v>
          </cell>
          <cell r="AJ42">
            <v>0.8</v>
          </cell>
          <cell r="AK42">
            <v>0.8</v>
          </cell>
          <cell r="AL42">
            <v>0.8</v>
          </cell>
          <cell r="AM42">
            <v>0.8</v>
          </cell>
          <cell r="AN42">
            <v>0.8</v>
          </cell>
          <cell r="AO42">
            <v>0.8</v>
          </cell>
          <cell r="AP42">
            <v>0.8</v>
          </cell>
          <cell r="AQ42">
            <v>0.8</v>
          </cell>
          <cell r="AR42">
            <v>0.8</v>
          </cell>
          <cell r="AS42">
            <v>0.8</v>
          </cell>
          <cell r="AT42">
            <v>0.8</v>
          </cell>
          <cell r="AU42">
            <v>0.9</v>
          </cell>
          <cell r="AV42">
            <v>0.9</v>
          </cell>
          <cell r="AW42">
            <v>0.9</v>
          </cell>
          <cell r="AX42">
            <v>0.9</v>
          </cell>
          <cell r="AY42">
            <v>0.9</v>
          </cell>
          <cell r="AZ42">
            <v>0.9</v>
          </cell>
          <cell r="BA42">
            <v>0.9</v>
          </cell>
          <cell r="BB42">
            <v>0.9</v>
          </cell>
          <cell r="BC42">
            <v>0.9</v>
          </cell>
          <cell r="BD42">
            <v>0.9</v>
          </cell>
          <cell r="BE42">
            <v>0.9</v>
          </cell>
          <cell r="BF42">
            <v>0.9</v>
          </cell>
          <cell r="BG42">
            <v>0.9</v>
          </cell>
          <cell r="BH42">
            <v>0.9</v>
          </cell>
          <cell r="BI42">
            <v>0.9</v>
          </cell>
          <cell r="BJ42">
            <v>0.9</v>
          </cell>
          <cell r="BK42">
            <v>0.9</v>
          </cell>
          <cell r="BL42">
            <v>0.9</v>
          </cell>
          <cell r="BM42">
            <v>0.9</v>
          </cell>
          <cell r="BN42">
            <v>0.9</v>
          </cell>
          <cell r="BO42">
            <v>0.9</v>
          </cell>
          <cell r="BP42">
            <v>0.9</v>
          </cell>
          <cell r="BQ42">
            <v>1.1499999999999999</v>
          </cell>
          <cell r="BR42">
            <v>1.1499999999999999</v>
          </cell>
          <cell r="BS42">
            <v>1.1499999999999999</v>
          </cell>
          <cell r="BT42">
            <v>1.1499999999999999</v>
          </cell>
          <cell r="BU42">
            <v>1.1499999999999999</v>
          </cell>
          <cell r="BV42">
            <v>1.1499999999999999</v>
          </cell>
          <cell r="BW42">
            <v>1.1499999999999999</v>
          </cell>
          <cell r="BX42">
            <v>1.1499999999999999</v>
          </cell>
          <cell r="BY42">
            <v>1.1499999999999999</v>
          </cell>
          <cell r="BZ42">
            <v>1.1499999999999999</v>
          </cell>
          <cell r="CA42">
            <v>1.1499999999999999</v>
          </cell>
          <cell r="CB42">
            <v>1.1499999999999999</v>
          </cell>
          <cell r="CC42">
            <v>1.1499999999999999</v>
          </cell>
          <cell r="CD42">
            <v>1.1499999999999999</v>
          </cell>
          <cell r="CE42">
            <v>1.1499999999999999</v>
          </cell>
          <cell r="CF42">
            <v>1.1499999999999999</v>
          </cell>
          <cell r="CG42">
            <v>1.1499999999999999</v>
          </cell>
          <cell r="CH42">
            <v>1.1499999999999999</v>
          </cell>
          <cell r="CI42">
            <v>1.1499999999999999</v>
          </cell>
          <cell r="CJ42">
            <v>1.1499999999999999</v>
          </cell>
          <cell r="CK42">
            <v>1.1499999999999999</v>
          </cell>
          <cell r="CL42">
            <v>1.1499999999999999</v>
          </cell>
        </row>
        <row r="43">
          <cell r="A43" t="str">
            <v>SOFTInternal Resources</v>
          </cell>
          <cell r="B43" t="str">
            <v>Internal Resources</v>
          </cell>
          <cell r="C43">
            <v>1</v>
          </cell>
          <cell r="D43">
            <v>1</v>
          </cell>
          <cell r="E43">
            <v>1</v>
          </cell>
          <cell r="F43">
            <v>1</v>
          </cell>
          <cell r="G43">
            <v>1</v>
          </cell>
          <cell r="H43">
            <v>1</v>
          </cell>
          <cell r="I43">
            <v>1</v>
          </cell>
          <cell r="J43">
            <v>1</v>
          </cell>
          <cell r="K43">
            <v>1</v>
          </cell>
          <cell r="L43">
            <v>1</v>
          </cell>
          <cell r="M43">
            <v>1</v>
          </cell>
          <cell r="N43">
            <v>1</v>
          </cell>
          <cell r="O43">
            <v>1</v>
          </cell>
          <cell r="P43">
            <v>1</v>
          </cell>
          <cell r="Q43">
            <v>1</v>
          </cell>
          <cell r="R43">
            <v>1</v>
          </cell>
          <cell r="S43">
            <v>1</v>
          </cell>
          <cell r="T43">
            <v>1</v>
          </cell>
          <cell r="U43">
            <v>1</v>
          </cell>
          <cell r="V43">
            <v>1</v>
          </cell>
          <cell r="W43">
            <v>1</v>
          </cell>
          <cell r="X43">
            <v>1</v>
          </cell>
          <cell r="Y43">
            <v>0.8</v>
          </cell>
          <cell r="Z43">
            <v>0.8</v>
          </cell>
          <cell r="AA43">
            <v>0.8</v>
          </cell>
          <cell r="AB43">
            <v>0.8</v>
          </cell>
          <cell r="AC43">
            <v>0.8</v>
          </cell>
          <cell r="AD43">
            <v>0.8</v>
          </cell>
          <cell r="AE43">
            <v>0.8</v>
          </cell>
          <cell r="AF43">
            <v>0.8</v>
          </cell>
          <cell r="AG43">
            <v>0.8</v>
          </cell>
          <cell r="AH43">
            <v>0.8</v>
          </cell>
          <cell r="AI43">
            <v>0.8</v>
          </cell>
          <cell r="AJ43">
            <v>0.8</v>
          </cell>
          <cell r="AK43">
            <v>0.8</v>
          </cell>
          <cell r="AL43">
            <v>0.8</v>
          </cell>
          <cell r="AM43">
            <v>0.8</v>
          </cell>
          <cell r="AN43">
            <v>0.8</v>
          </cell>
          <cell r="AO43">
            <v>0.8</v>
          </cell>
          <cell r="AP43">
            <v>0.8</v>
          </cell>
          <cell r="AQ43">
            <v>0.8</v>
          </cell>
          <cell r="AR43">
            <v>0.8</v>
          </cell>
          <cell r="AS43">
            <v>0.8</v>
          </cell>
          <cell r="AT43">
            <v>0.8</v>
          </cell>
          <cell r="AU43">
            <v>0.9</v>
          </cell>
          <cell r="AV43">
            <v>0.9</v>
          </cell>
          <cell r="AW43">
            <v>0.9</v>
          </cell>
          <cell r="AX43">
            <v>0.9</v>
          </cell>
          <cell r="AY43">
            <v>0.9</v>
          </cell>
          <cell r="AZ43">
            <v>0.9</v>
          </cell>
          <cell r="BA43">
            <v>0.9</v>
          </cell>
          <cell r="BB43">
            <v>0.9</v>
          </cell>
          <cell r="BC43">
            <v>0.9</v>
          </cell>
          <cell r="BD43">
            <v>0.9</v>
          </cell>
          <cell r="BE43">
            <v>0.9</v>
          </cell>
          <cell r="BF43">
            <v>0.9</v>
          </cell>
          <cell r="BG43">
            <v>0.9</v>
          </cell>
          <cell r="BH43">
            <v>0.9</v>
          </cell>
          <cell r="BI43">
            <v>0.9</v>
          </cell>
          <cell r="BJ43">
            <v>0.9</v>
          </cell>
          <cell r="BK43">
            <v>0.9</v>
          </cell>
          <cell r="BL43">
            <v>0.9</v>
          </cell>
          <cell r="BM43">
            <v>0.9</v>
          </cell>
          <cell r="BN43">
            <v>0.9</v>
          </cell>
          <cell r="BO43">
            <v>0.9</v>
          </cell>
          <cell r="BP43">
            <v>0.9</v>
          </cell>
          <cell r="BQ43">
            <v>1.1499999999999999</v>
          </cell>
          <cell r="BR43">
            <v>1.1499999999999999</v>
          </cell>
          <cell r="BS43">
            <v>1.1499999999999999</v>
          </cell>
          <cell r="BT43">
            <v>1.1499999999999999</v>
          </cell>
          <cell r="BU43">
            <v>1.1499999999999999</v>
          </cell>
          <cell r="BV43">
            <v>1.1499999999999999</v>
          </cell>
          <cell r="BW43">
            <v>1.1499999999999999</v>
          </cell>
          <cell r="BX43">
            <v>1.1499999999999999</v>
          </cell>
          <cell r="BY43">
            <v>1.1499999999999999</v>
          </cell>
          <cell r="BZ43">
            <v>1.1499999999999999</v>
          </cell>
          <cell r="CA43">
            <v>1.1499999999999999</v>
          </cell>
          <cell r="CB43">
            <v>1.1499999999999999</v>
          </cell>
          <cell r="CC43">
            <v>1.1499999999999999</v>
          </cell>
          <cell r="CD43">
            <v>1.1499999999999999</v>
          </cell>
          <cell r="CE43">
            <v>1.1499999999999999</v>
          </cell>
          <cell r="CF43">
            <v>1.1499999999999999</v>
          </cell>
          <cell r="CG43">
            <v>1.1499999999999999</v>
          </cell>
          <cell r="CH43">
            <v>1.1499999999999999</v>
          </cell>
          <cell r="CI43">
            <v>1.1499999999999999</v>
          </cell>
          <cell r="CJ43">
            <v>1.1499999999999999</v>
          </cell>
          <cell r="CK43">
            <v>1.1499999999999999</v>
          </cell>
          <cell r="CL43">
            <v>1.1499999999999999</v>
          </cell>
        </row>
        <row r="44">
          <cell r="A44" t="str">
            <v>SOFTSoftware Maintenance</v>
          </cell>
          <cell r="B44" t="str">
            <v>Software Maintenance</v>
          </cell>
          <cell r="C44">
            <v>1</v>
          </cell>
          <cell r="D44">
            <v>1</v>
          </cell>
          <cell r="E44">
            <v>1</v>
          </cell>
          <cell r="F44">
            <v>1</v>
          </cell>
          <cell r="G44">
            <v>1</v>
          </cell>
          <cell r="H44">
            <v>1</v>
          </cell>
          <cell r="I44">
            <v>1</v>
          </cell>
          <cell r="J44">
            <v>1</v>
          </cell>
          <cell r="K44">
            <v>1</v>
          </cell>
          <cell r="L44">
            <v>1</v>
          </cell>
          <cell r="M44">
            <v>1</v>
          </cell>
          <cell r="N44">
            <v>1</v>
          </cell>
          <cell r="O44">
            <v>1</v>
          </cell>
          <cell r="P44">
            <v>1</v>
          </cell>
          <cell r="Q44">
            <v>1</v>
          </cell>
          <cell r="R44">
            <v>1</v>
          </cell>
          <cell r="S44">
            <v>1</v>
          </cell>
          <cell r="T44">
            <v>1</v>
          </cell>
          <cell r="U44">
            <v>1</v>
          </cell>
          <cell r="V44">
            <v>1</v>
          </cell>
          <cell r="W44">
            <v>1</v>
          </cell>
          <cell r="X44">
            <v>1</v>
          </cell>
          <cell r="Y44">
            <v>0.8</v>
          </cell>
          <cell r="Z44">
            <v>0.8</v>
          </cell>
          <cell r="AA44">
            <v>0.8</v>
          </cell>
          <cell r="AB44">
            <v>0.8</v>
          </cell>
          <cell r="AC44">
            <v>0.8</v>
          </cell>
          <cell r="AD44">
            <v>0.8</v>
          </cell>
          <cell r="AE44">
            <v>0.8</v>
          </cell>
          <cell r="AF44">
            <v>0.8</v>
          </cell>
          <cell r="AG44">
            <v>0.8</v>
          </cell>
          <cell r="AH44">
            <v>0.8</v>
          </cell>
          <cell r="AI44">
            <v>0.8</v>
          </cell>
          <cell r="AJ44">
            <v>0.8</v>
          </cell>
          <cell r="AK44">
            <v>0.8</v>
          </cell>
          <cell r="AL44">
            <v>0.8</v>
          </cell>
          <cell r="AM44">
            <v>0.8</v>
          </cell>
          <cell r="AN44">
            <v>0.8</v>
          </cell>
          <cell r="AO44">
            <v>0.8</v>
          </cell>
          <cell r="AP44">
            <v>0.8</v>
          </cell>
          <cell r="AQ44">
            <v>0.8</v>
          </cell>
          <cell r="AR44">
            <v>0.8</v>
          </cell>
          <cell r="AS44">
            <v>0.8</v>
          </cell>
          <cell r="AT44">
            <v>0.8</v>
          </cell>
          <cell r="AU44">
            <v>0.9</v>
          </cell>
          <cell r="AV44">
            <v>0.9</v>
          </cell>
          <cell r="AW44">
            <v>0.9</v>
          </cell>
          <cell r="AX44">
            <v>0.9</v>
          </cell>
          <cell r="AY44">
            <v>0.9</v>
          </cell>
          <cell r="AZ44">
            <v>0.9</v>
          </cell>
          <cell r="BA44">
            <v>0.9</v>
          </cell>
          <cell r="BB44">
            <v>0.9</v>
          </cell>
          <cell r="BC44">
            <v>0.9</v>
          </cell>
          <cell r="BD44">
            <v>0.9</v>
          </cell>
          <cell r="BE44">
            <v>0.9</v>
          </cell>
          <cell r="BF44">
            <v>0.9</v>
          </cell>
          <cell r="BG44">
            <v>0.9</v>
          </cell>
          <cell r="BH44">
            <v>0.9</v>
          </cell>
          <cell r="BI44">
            <v>0.9</v>
          </cell>
          <cell r="BJ44">
            <v>0.9</v>
          </cell>
          <cell r="BK44">
            <v>0.9</v>
          </cell>
          <cell r="BL44">
            <v>0.9</v>
          </cell>
          <cell r="BM44">
            <v>0.9</v>
          </cell>
          <cell r="BN44">
            <v>0.9</v>
          </cell>
          <cell r="BO44">
            <v>0.9</v>
          </cell>
          <cell r="BP44">
            <v>0.9</v>
          </cell>
          <cell r="BQ44">
            <v>1.1499999999999999</v>
          </cell>
          <cell r="BR44">
            <v>1.1499999999999999</v>
          </cell>
          <cell r="BS44">
            <v>1.1499999999999999</v>
          </cell>
          <cell r="BT44">
            <v>1.1499999999999999</v>
          </cell>
          <cell r="BU44">
            <v>1.1499999999999999</v>
          </cell>
          <cell r="BV44">
            <v>1.1499999999999999</v>
          </cell>
          <cell r="BW44">
            <v>1.1499999999999999</v>
          </cell>
          <cell r="BX44">
            <v>1.1499999999999999</v>
          </cell>
          <cell r="BY44">
            <v>1.1499999999999999</v>
          </cell>
          <cell r="BZ44">
            <v>1.1499999999999999</v>
          </cell>
          <cell r="CA44">
            <v>1.1499999999999999</v>
          </cell>
          <cell r="CB44">
            <v>1.1499999999999999</v>
          </cell>
          <cell r="CC44">
            <v>1.1499999999999999</v>
          </cell>
          <cell r="CD44">
            <v>1.1499999999999999</v>
          </cell>
          <cell r="CE44">
            <v>1.1499999999999999</v>
          </cell>
          <cell r="CF44">
            <v>1.1499999999999999</v>
          </cell>
          <cell r="CG44">
            <v>1.1499999999999999</v>
          </cell>
          <cell r="CH44">
            <v>1.1499999999999999</v>
          </cell>
          <cell r="CI44">
            <v>1.1499999999999999</v>
          </cell>
          <cell r="CJ44">
            <v>1.1499999999999999</v>
          </cell>
          <cell r="CK44">
            <v>1.1499999999999999</v>
          </cell>
          <cell r="CL44">
            <v>1.1499999999999999</v>
          </cell>
        </row>
        <row r="45">
          <cell r="A45" t="str">
            <v>SOFTTravel</v>
          </cell>
          <cell r="B45" t="str">
            <v>Travel</v>
          </cell>
          <cell r="C45">
            <v>1</v>
          </cell>
          <cell r="D45">
            <v>1</v>
          </cell>
          <cell r="E45">
            <v>1</v>
          </cell>
          <cell r="F45">
            <v>1</v>
          </cell>
          <cell r="G45">
            <v>1</v>
          </cell>
          <cell r="H45">
            <v>1</v>
          </cell>
          <cell r="I45">
            <v>1</v>
          </cell>
          <cell r="J45">
            <v>1</v>
          </cell>
          <cell r="K45">
            <v>1</v>
          </cell>
          <cell r="L45">
            <v>1</v>
          </cell>
          <cell r="M45">
            <v>1</v>
          </cell>
          <cell r="N45">
            <v>1</v>
          </cell>
          <cell r="O45">
            <v>1</v>
          </cell>
          <cell r="P45">
            <v>1</v>
          </cell>
          <cell r="Q45">
            <v>1</v>
          </cell>
          <cell r="R45">
            <v>1</v>
          </cell>
          <cell r="S45">
            <v>1</v>
          </cell>
          <cell r="T45">
            <v>1</v>
          </cell>
          <cell r="U45">
            <v>1</v>
          </cell>
          <cell r="V45">
            <v>1</v>
          </cell>
          <cell r="W45">
            <v>1</v>
          </cell>
          <cell r="X45">
            <v>1</v>
          </cell>
          <cell r="Y45">
            <v>0.8</v>
          </cell>
          <cell r="Z45">
            <v>0.8</v>
          </cell>
          <cell r="AA45">
            <v>0.8</v>
          </cell>
          <cell r="AB45">
            <v>0.8</v>
          </cell>
          <cell r="AC45">
            <v>0.8</v>
          </cell>
          <cell r="AD45">
            <v>0.8</v>
          </cell>
          <cell r="AE45">
            <v>0.8</v>
          </cell>
          <cell r="AF45">
            <v>0.8</v>
          </cell>
          <cell r="AG45">
            <v>0.8</v>
          </cell>
          <cell r="AH45">
            <v>0.8</v>
          </cell>
          <cell r="AI45">
            <v>0.8</v>
          </cell>
          <cell r="AJ45">
            <v>0.8</v>
          </cell>
          <cell r="AK45">
            <v>0.8</v>
          </cell>
          <cell r="AL45">
            <v>0.8</v>
          </cell>
          <cell r="AM45">
            <v>0.8</v>
          </cell>
          <cell r="AN45">
            <v>0.8</v>
          </cell>
          <cell r="AO45">
            <v>0.8</v>
          </cell>
          <cell r="AP45">
            <v>0.8</v>
          </cell>
          <cell r="AQ45">
            <v>0.8</v>
          </cell>
          <cell r="AR45">
            <v>0.8</v>
          </cell>
          <cell r="AS45">
            <v>0.8</v>
          </cell>
          <cell r="AT45">
            <v>0.8</v>
          </cell>
          <cell r="AU45">
            <v>0.9</v>
          </cell>
          <cell r="AV45">
            <v>0.9</v>
          </cell>
          <cell r="AW45">
            <v>0.9</v>
          </cell>
          <cell r="AX45">
            <v>0.9</v>
          </cell>
          <cell r="AY45">
            <v>0.9</v>
          </cell>
          <cell r="AZ45">
            <v>0.9</v>
          </cell>
          <cell r="BA45">
            <v>0.9</v>
          </cell>
          <cell r="BB45">
            <v>0.9</v>
          </cell>
          <cell r="BC45">
            <v>0.9</v>
          </cell>
          <cell r="BD45">
            <v>0.9</v>
          </cell>
          <cell r="BE45">
            <v>0.9</v>
          </cell>
          <cell r="BF45">
            <v>0.9</v>
          </cell>
          <cell r="BG45">
            <v>0.9</v>
          </cell>
          <cell r="BH45">
            <v>0.9</v>
          </cell>
          <cell r="BI45">
            <v>0.9</v>
          </cell>
          <cell r="BJ45">
            <v>0.9</v>
          </cell>
          <cell r="BK45">
            <v>0.9</v>
          </cell>
          <cell r="BL45">
            <v>0.9</v>
          </cell>
          <cell r="BM45">
            <v>0.9</v>
          </cell>
          <cell r="BN45">
            <v>0.9</v>
          </cell>
          <cell r="BO45">
            <v>0.9</v>
          </cell>
          <cell r="BP45">
            <v>0.9</v>
          </cell>
          <cell r="BQ45">
            <v>1.1499999999999999</v>
          </cell>
          <cell r="BR45">
            <v>1.1499999999999999</v>
          </cell>
          <cell r="BS45">
            <v>1.1499999999999999</v>
          </cell>
          <cell r="BT45">
            <v>1.1499999999999999</v>
          </cell>
          <cell r="BU45">
            <v>1.1499999999999999</v>
          </cell>
          <cell r="BV45">
            <v>1.1499999999999999</v>
          </cell>
          <cell r="BW45">
            <v>1.1499999999999999</v>
          </cell>
          <cell r="BX45">
            <v>1.1499999999999999</v>
          </cell>
          <cell r="BY45">
            <v>1.1499999999999999</v>
          </cell>
          <cell r="BZ45">
            <v>1.1499999999999999</v>
          </cell>
          <cell r="CA45">
            <v>1.1499999999999999</v>
          </cell>
          <cell r="CB45">
            <v>1.1499999999999999</v>
          </cell>
          <cell r="CC45">
            <v>1.1499999999999999</v>
          </cell>
          <cell r="CD45">
            <v>1.1499999999999999</v>
          </cell>
          <cell r="CE45">
            <v>1.1499999999999999</v>
          </cell>
          <cell r="CF45">
            <v>1.1499999999999999</v>
          </cell>
          <cell r="CG45">
            <v>1.1499999999999999</v>
          </cell>
          <cell r="CH45">
            <v>1.1499999999999999</v>
          </cell>
          <cell r="CI45">
            <v>1.1499999999999999</v>
          </cell>
          <cell r="CJ45">
            <v>1.1499999999999999</v>
          </cell>
          <cell r="CK45">
            <v>1.1499999999999999</v>
          </cell>
          <cell r="CL45">
            <v>1.1499999999999999</v>
          </cell>
        </row>
        <row r="46">
          <cell r="A46" t="str">
            <v>SOFTCompliance</v>
          </cell>
          <cell r="B46" t="str">
            <v>Compliance</v>
          </cell>
          <cell r="C46">
            <v>1</v>
          </cell>
          <cell r="D46">
            <v>1</v>
          </cell>
          <cell r="E46">
            <v>1</v>
          </cell>
          <cell r="F46">
            <v>1</v>
          </cell>
          <cell r="G46">
            <v>1</v>
          </cell>
          <cell r="H46">
            <v>1</v>
          </cell>
          <cell r="I46">
            <v>1</v>
          </cell>
          <cell r="J46">
            <v>1</v>
          </cell>
          <cell r="K46">
            <v>1</v>
          </cell>
          <cell r="L46">
            <v>1</v>
          </cell>
          <cell r="M46">
            <v>1</v>
          </cell>
          <cell r="N46">
            <v>1</v>
          </cell>
          <cell r="O46">
            <v>1</v>
          </cell>
          <cell r="P46">
            <v>1</v>
          </cell>
          <cell r="Q46">
            <v>1</v>
          </cell>
          <cell r="R46">
            <v>1</v>
          </cell>
          <cell r="S46">
            <v>1</v>
          </cell>
          <cell r="T46">
            <v>1</v>
          </cell>
          <cell r="U46">
            <v>1</v>
          </cell>
          <cell r="V46">
            <v>1</v>
          </cell>
          <cell r="W46">
            <v>1</v>
          </cell>
          <cell r="X46">
            <v>1</v>
          </cell>
          <cell r="Y46">
            <v>0.8</v>
          </cell>
          <cell r="Z46">
            <v>0.8</v>
          </cell>
          <cell r="AA46">
            <v>0.8</v>
          </cell>
          <cell r="AB46">
            <v>0.8</v>
          </cell>
          <cell r="AC46">
            <v>0.8</v>
          </cell>
          <cell r="AD46">
            <v>0.8</v>
          </cell>
          <cell r="AE46">
            <v>0.8</v>
          </cell>
          <cell r="AF46">
            <v>0.8</v>
          </cell>
          <cell r="AG46">
            <v>0.8</v>
          </cell>
          <cell r="AH46">
            <v>0.8</v>
          </cell>
          <cell r="AI46">
            <v>0.8</v>
          </cell>
          <cell r="AJ46">
            <v>0.8</v>
          </cell>
          <cell r="AK46">
            <v>0.8</v>
          </cell>
          <cell r="AL46">
            <v>0.8</v>
          </cell>
          <cell r="AM46">
            <v>0.8</v>
          </cell>
          <cell r="AN46">
            <v>0.8</v>
          </cell>
          <cell r="AO46">
            <v>0.8</v>
          </cell>
          <cell r="AP46">
            <v>0.8</v>
          </cell>
          <cell r="AQ46">
            <v>0.8</v>
          </cell>
          <cell r="AR46">
            <v>0.8</v>
          </cell>
          <cell r="AS46">
            <v>0.8</v>
          </cell>
          <cell r="AT46">
            <v>0.8</v>
          </cell>
          <cell r="AU46">
            <v>0.9</v>
          </cell>
          <cell r="AV46">
            <v>0.9</v>
          </cell>
          <cell r="AW46">
            <v>0.9</v>
          </cell>
          <cell r="AX46">
            <v>0.9</v>
          </cell>
          <cell r="AY46">
            <v>0.9</v>
          </cell>
          <cell r="AZ46">
            <v>0.9</v>
          </cell>
          <cell r="BA46">
            <v>0.9</v>
          </cell>
          <cell r="BB46">
            <v>0.9</v>
          </cell>
          <cell r="BC46">
            <v>0.9</v>
          </cell>
          <cell r="BD46">
            <v>0.9</v>
          </cell>
          <cell r="BE46">
            <v>0.9</v>
          </cell>
          <cell r="BF46">
            <v>0.9</v>
          </cell>
          <cell r="BG46">
            <v>0.9</v>
          </cell>
          <cell r="BH46">
            <v>0.9</v>
          </cell>
          <cell r="BI46">
            <v>0.9</v>
          </cell>
          <cell r="BJ46">
            <v>0.9</v>
          </cell>
          <cell r="BK46">
            <v>0.9</v>
          </cell>
          <cell r="BL46">
            <v>0.9</v>
          </cell>
          <cell r="BM46">
            <v>0.9</v>
          </cell>
          <cell r="BN46">
            <v>0.9</v>
          </cell>
          <cell r="BO46">
            <v>0.9</v>
          </cell>
          <cell r="BP46">
            <v>0.9</v>
          </cell>
          <cell r="BQ46">
            <v>1.1499999999999999</v>
          </cell>
          <cell r="BR46">
            <v>1.1499999999999999</v>
          </cell>
          <cell r="BS46">
            <v>1.1499999999999999</v>
          </cell>
          <cell r="BT46">
            <v>1.1499999999999999</v>
          </cell>
          <cell r="BU46">
            <v>1.1499999999999999</v>
          </cell>
          <cell r="BV46">
            <v>1.1499999999999999</v>
          </cell>
          <cell r="BW46">
            <v>1.1499999999999999</v>
          </cell>
          <cell r="BX46">
            <v>1.1499999999999999</v>
          </cell>
          <cell r="BY46">
            <v>1.1499999999999999</v>
          </cell>
          <cell r="BZ46">
            <v>1.1499999999999999</v>
          </cell>
          <cell r="CA46">
            <v>1.1499999999999999</v>
          </cell>
          <cell r="CB46">
            <v>1.1499999999999999</v>
          </cell>
          <cell r="CC46">
            <v>1.1499999999999999</v>
          </cell>
          <cell r="CD46">
            <v>1.1499999999999999</v>
          </cell>
          <cell r="CE46">
            <v>1.1499999999999999</v>
          </cell>
          <cell r="CF46">
            <v>1.1499999999999999</v>
          </cell>
          <cell r="CG46">
            <v>1.1499999999999999</v>
          </cell>
          <cell r="CH46">
            <v>1.1499999999999999</v>
          </cell>
          <cell r="CI46">
            <v>1.1499999999999999</v>
          </cell>
          <cell r="CJ46">
            <v>1.1499999999999999</v>
          </cell>
          <cell r="CK46">
            <v>1.1499999999999999</v>
          </cell>
          <cell r="CL46">
            <v>1.1499999999999999</v>
          </cell>
        </row>
        <row r="47">
          <cell r="A47" t="str">
            <v>SOFTOther</v>
          </cell>
          <cell r="B47" t="str">
            <v>Other</v>
          </cell>
          <cell r="C47">
            <v>1</v>
          </cell>
          <cell r="D47">
            <v>1</v>
          </cell>
          <cell r="E47">
            <v>1</v>
          </cell>
          <cell r="F47">
            <v>1</v>
          </cell>
          <cell r="G47">
            <v>1</v>
          </cell>
          <cell r="H47">
            <v>1</v>
          </cell>
          <cell r="I47">
            <v>1</v>
          </cell>
          <cell r="J47">
            <v>1</v>
          </cell>
          <cell r="K47">
            <v>1</v>
          </cell>
          <cell r="L47">
            <v>1</v>
          </cell>
          <cell r="M47">
            <v>1</v>
          </cell>
          <cell r="N47">
            <v>1</v>
          </cell>
          <cell r="O47">
            <v>1</v>
          </cell>
          <cell r="P47">
            <v>1</v>
          </cell>
          <cell r="Q47">
            <v>1</v>
          </cell>
          <cell r="R47">
            <v>1</v>
          </cell>
          <cell r="S47">
            <v>1</v>
          </cell>
          <cell r="T47">
            <v>1</v>
          </cell>
          <cell r="U47">
            <v>1</v>
          </cell>
          <cell r="V47">
            <v>1</v>
          </cell>
          <cell r="W47">
            <v>1</v>
          </cell>
          <cell r="X47">
            <v>1</v>
          </cell>
          <cell r="Y47">
            <v>0.8</v>
          </cell>
          <cell r="Z47">
            <v>0.8</v>
          </cell>
          <cell r="AA47">
            <v>0.8</v>
          </cell>
          <cell r="AB47">
            <v>0.8</v>
          </cell>
          <cell r="AC47">
            <v>0.8</v>
          </cell>
          <cell r="AD47">
            <v>0.8</v>
          </cell>
          <cell r="AE47">
            <v>0.8</v>
          </cell>
          <cell r="AF47">
            <v>0.8</v>
          </cell>
          <cell r="AG47">
            <v>0.8</v>
          </cell>
          <cell r="AH47">
            <v>0.8</v>
          </cell>
          <cell r="AI47">
            <v>0.8</v>
          </cell>
          <cell r="AJ47">
            <v>0.8</v>
          </cell>
          <cell r="AK47">
            <v>0.8</v>
          </cell>
          <cell r="AL47">
            <v>0.8</v>
          </cell>
          <cell r="AM47">
            <v>0.8</v>
          </cell>
          <cell r="AN47">
            <v>0.8</v>
          </cell>
          <cell r="AO47">
            <v>0.8</v>
          </cell>
          <cell r="AP47">
            <v>0.8</v>
          </cell>
          <cell r="AQ47">
            <v>0.8</v>
          </cell>
          <cell r="AR47">
            <v>0.8</v>
          </cell>
          <cell r="AS47">
            <v>0.8</v>
          </cell>
          <cell r="AT47">
            <v>0.8</v>
          </cell>
          <cell r="AU47">
            <v>0.9</v>
          </cell>
          <cell r="AV47">
            <v>0.9</v>
          </cell>
          <cell r="AW47">
            <v>0.9</v>
          </cell>
          <cell r="AX47">
            <v>0.9</v>
          </cell>
          <cell r="AY47">
            <v>0.9</v>
          </cell>
          <cell r="AZ47">
            <v>0.9</v>
          </cell>
          <cell r="BA47">
            <v>0.9</v>
          </cell>
          <cell r="BB47">
            <v>0.9</v>
          </cell>
          <cell r="BC47">
            <v>0.9</v>
          </cell>
          <cell r="BD47">
            <v>0.9</v>
          </cell>
          <cell r="BE47">
            <v>0.9</v>
          </cell>
          <cell r="BF47">
            <v>0.9</v>
          </cell>
          <cell r="BG47">
            <v>0.9</v>
          </cell>
          <cell r="BH47">
            <v>0.9</v>
          </cell>
          <cell r="BI47">
            <v>0.9</v>
          </cell>
          <cell r="BJ47">
            <v>0.9</v>
          </cell>
          <cell r="BK47">
            <v>0.9</v>
          </cell>
          <cell r="BL47">
            <v>0.9</v>
          </cell>
          <cell r="BM47">
            <v>0.9</v>
          </cell>
          <cell r="BN47">
            <v>0.9</v>
          </cell>
          <cell r="BO47">
            <v>0.9</v>
          </cell>
          <cell r="BP47">
            <v>0.9</v>
          </cell>
          <cell r="BQ47">
            <v>1.1499999999999999</v>
          </cell>
          <cell r="BR47">
            <v>1.1499999999999999</v>
          </cell>
          <cell r="BS47">
            <v>1.1499999999999999</v>
          </cell>
          <cell r="BT47">
            <v>1.1499999999999999</v>
          </cell>
          <cell r="BU47">
            <v>1.1499999999999999</v>
          </cell>
          <cell r="BV47">
            <v>1.1499999999999999</v>
          </cell>
          <cell r="BW47">
            <v>1.1499999999999999</v>
          </cell>
          <cell r="BX47">
            <v>1.1499999999999999</v>
          </cell>
          <cell r="BY47">
            <v>1.1499999999999999</v>
          </cell>
          <cell r="BZ47">
            <v>1.1499999999999999</v>
          </cell>
          <cell r="CA47">
            <v>1.1499999999999999</v>
          </cell>
          <cell r="CB47">
            <v>1.1499999999999999</v>
          </cell>
          <cell r="CC47">
            <v>1.1499999999999999</v>
          </cell>
          <cell r="CD47">
            <v>1.1499999999999999</v>
          </cell>
          <cell r="CE47">
            <v>1.1499999999999999</v>
          </cell>
          <cell r="CF47">
            <v>1.1499999999999999</v>
          </cell>
          <cell r="CG47">
            <v>1.1499999999999999</v>
          </cell>
          <cell r="CH47">
            <v>1.1499999999999999</v>
          </cell>
          <cell r="CI47">
            <v>1.1499999999999999</v>
          </cell>
          <cell r="CJ47">
            <v>1.1499999999999999</v>
          </cell>
          <cell r="CK47">
            <v>1.1499999999999999</v>
          </cell>
          <cell r="CL47">
            <v>1.1499999999999999</v>
          </cell>
        </row>
        <row r="48">
          <cell r="A48" t="str">
            <v>SOFT</v>
          </cell>
          <cell r="B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row>
        <row r="49">
          <cell r="A49" t="str">
            <v>SOFT</v>
          </cell>
          <cell r="B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row>
        <row r="50">
          <cell r="A50" t="str">
            <v>SOFT</v>
          </cell>
          <cell r="B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row>
        <row r="51">
          <cell r="A51" t="str">
            <v>SOFT</v>
          </cell>
          <cell r="B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R51">
            <v>0</v>
          </cell>
          <cell r="BS51">
            <v>0</v>
          </cell>
          <cell r="BT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row>
        <row r="52">
          <cell r="A52" t="str">
            <v>SOFT</v>
          </cell>
          <cell r="B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R52">
            <v>0</v>
          </cell>
          <cell r="BS52">
            <v>0</v>
          </cell>
          <cell r="BT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row>
        <row r="53">
          <cell r="A53" t="str">
            <v>SOFT</v>
          </cell>
          <cell r="B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row>
        <row r="54">
          <cell r="A54" t="str">
            <v>SOFT</v>
          </cell>
          <cell r="B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row>
        <row r="55">
          <cell r="A55" t="str">
            <v>SOFT</v>
          </cell>
          <cell r="B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R55">
            <v>0</v>
          </cell>
          <cell r="BS55">
            <v>0</v>
          </cell>
          <cell r="BT55">
            <v>0</v>
          </cell>
          <cell r="BU55">
            <v>0</v>
          </cell>
          <cell r="BV55">
            <v>0</v>
          </cell>
          <cell r="BW55">
            <v>0</v>
          </cell>
          <cell r="BX55">
            <v>0</v>
          </cell>
          <cell r="BY55">
            <v>0</v>
          </cell>
          <cell r="BZ55">
            <v>0</v>
          </cell>
          <cell r="CA55">
            <v>0</v>
          </cell>
          <cell r="CB55">
            <v>0</v>
          </cell>
          <cell r="CC55">
            <v>0</v>
          </cell>
          <cell r="CD55">
            <v>0</v>
          </cell>
          <cell r="CE55">
            <v>0</v>
          </cell>
          <cell r="CF55">
            <v>0</v>
          </cell>
          <cell r="CG55">
            <v>0</v>
          </cell>
          <cell r="CH55">
            <v>0</v>
          </cell>
          <cell r="CI55">
            <v>0</v>
          </cell>
          <cell r="CJ55">
            <v>0</v>
          </cell>
          <cell r="CK55">
            <v>0</v>
          </cell>
          <cell r="CL55">
            <v>0</v>
          </cell>
        </row>
        <row r="56">
          <cell r="A56" t="str">
            <v>SOFT</v>
          </cell>
          <cell r="B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row>
        <row r="57">
          <cell r="A57" t="str">
            <v>SOFT</v>
          </cell>
          <cell r="B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row>
        <row r="58">
          <cell r="A58" t="str">
            <v>SOFT</v>
          </cell>
          <cell r="B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row>
        <row r="59">
          <cell r="A59" t="str">
            <v>SOFT</v>
          </cell>
          <cell r="B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row>
        <row r="60">
          <cell r="A60" t="str">
            <v>SOFT</v>
          </cell>
          <cell r="B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row>
        <row r="63">
          <cell r="A63" t="str">
            <v>OTHER</v>
          </cell>
          <cell r="B63" t="str">
            <v>Other Commitments</v>
          </cell>
        </row>
        <row r="64">
          <cell r="A64" t="str">
            <v xml:space="preserve">OTHERPremium </v>
          </cell>
          <cell r="B64" t="str">
            <v xml:space="preserve">Premium </v>
          </cell>
          <cell r="C64">
            <v>1</v>
          </cell>
          <cell r="D64">
            <v>1</v>
          </cell>
          <cell r="E64">
            <v>1</v>
          </cell>
          <cell r="F64">
            <v>1</v>
          </cell>
          <cell r="G64">
            <v>1</v>
          </cell>
          <cell r="H64">
            <v>1</v>
          </cell>
          <cell r="I64">
            <v>1</v>
          </cell>
          <cell r="J64">
            <v>1</v>
          </cell>
          <cell r="K64">
            <v>1</v>
          </cell>
          <cell r="L64">
            <v>1</v>
          </cell>
          <cell r="M64">
            <v>1</v>
          </cell>
          <cell r="N64">
            <v>1</v>
          </cell>
          <cell r="O64">
            <v>1</v>
          </cell>
          <cell r="P64">
            <v>1</v>
          </cell>
          <cell r="Q64">
            <v>1</v>
          </cell>
          <cell r="R64">
            <v>1</v>
          </cell>
          <cell r="S64">
            <v>1</v>
          </cell>
          <cell r="T64">
            <v>1</v>
          </cell>
          <cell r="U64">
            <v>1</v>
          </cell>
          <cell r="V64">
            <v>1</v>
          </cell>
          <cell r="W64">
            <v>1</v>
          </cell>
          <cell r="X64">
            <v>1</v>
          </cell>
          <cell r="Y64">
            <v>0.8</v>
          </cell>
          <cell r="Z64">
            <v>0.8</v>
          </cell>
          <cell r="AA64">
            <v>0.8</v>
          </cell>
          <cell r="AB64">
            <v>0.8</v>
          </cell>
          <cell r="AC64">
            <v>0.8</v>
          </cell>
          <cell r="AD64">
            <v>0.8</v>
          </cell>
          <cell r="AE64">
            <v>0.8</v>
          </cell>
          <cell r="AF64">
            <v>0.8</v>
          </cell>
          <cell r="AG64">
            <v>0.8</v>
          </cell>
          <cell r="AH64">
            <v>0.8</v>
          </cell>
          <cell r="AI64">
            <v>0.8</v>
          </cell>
          <cell r="AJ64">
            <v>0.8</v>
          </cell>
          <cell r="AK64">
            <v>0.8</v>
          </cell>
          <cell r="AL64">
            <v>0.8</v>
          </cell>
          <cell r="AM64">
            <v>0.8</v>
          </cell>
          <cell r="AN64">
            <v>0.8</v>
          </cell>
          <cell r="AO64">
            <v>0.8</v>
          </cell>
          <cell r="AP64">
            <v>0.8</v>
          </cell>
          <cell r="AQ64">
            <v>0.8</v>
          </cell>
          <cell r="AR64">
            <v>0.8</v>
          </cell>
          <cell r="AS64">
            <v>0.8</v>
          </cell>
          <cell r="AT64">
            <v>0.8</v>
          </cell>
          <cell r="AU64">
            <v>0.9</v>
          </cell>
          <cell r="AV64">
            <v>0.9</v>
          </cell>
          <cell r="AW64">
            <v>0.9</v>
          </cell>
          <cell r="AX64">
            <v>0.9</v>
          </cell>
          <cell r="AY64">
            <v>0.9</v>
          </cell>
          <cell r="AZ64">
            <v>0.9</v>
          </cell>
          <cell r="BA64">
            <v>0.9</v>
          </cell>
          <cell r="BB64">
            <v>0.9</v>
          </cell>
          <cell r="BC64">
            <v>0.9</v>
          </cell>
          <cell r="BD64">
            <v>0.9</v>
          </cell>
          <cell r="BE64">
            <v>0.9</v>
          </cell>
          <cell r="BF64">
            <v>0.9</v>
          </cell>
          <cell r="BG64">
            <v>0.9</v>
          </cell>
          <cell r="BH64">
            <v>0.9</v>
          </cell>
          <cell r="BI64">
            <v>0.9</v>
          </cell>
          <cell r="BJ64">
            <v>0.9</v>
          </cell>
          <cell r="BK64">
            <v>0.9</v>
          </cell>
          <cell r="BL64">
            <v>0.9</v>
          </cell>
          <cell r="BM64">
            <v>0.9</v>
          </cell>
          <cell r="BN64">
            <v>0.9</v>
          </cell>
          <cell r="BO64">
            <v>0.9</v>
          </cell>
          <cell r="BP64">
            <v>0.9</v>
          </cell>
          <cell r="BQ64">
            <v>1.1499999999999999</v>
          </cell>
          <cell r="BR64">
            <v>1.1499999999999999</v>
          </cell>
          <cell r="BS64">
            <v>1.1499999999999999</v>
          </cell>
          <cell r="BT64">
            <v>1.1499999999999999</v>
          </cell>
          <cell r="BU64">
            <v>1.1499999999999999</v>
          </cell>
          <cell r="BV64">
            <v>1.1499999999999999</v>
          </cell>
          <cell r="BW64">
            <v>1.1499999999999999</v>
          </cell>
          <cell r="BX64">
            <v>1.1499999999999999</v>
          </cell>
          <cell r="BY64">
            <v>1.1499999999999999</v>
          </cell>
          <cell r="BZ64">
            <v>1.1499999999999999</v>
          </cell>
          <cell r="CA64">
            <v>1.1499999999999999</v>
          </cell>
          <cell r="CB64">
            <v>1.1499999999999999</v>
          </cell>
          <cell r="CC64">
            <v>1.1499999999999999</v>
          </cell>
          <cell r="CD64">
            <v>1.1499999999999999</v>
          </cell>
          <cell r="CE64">
            <v>1.1499999999999999</v>
          </cell>
          <cell r="CF64">
            <v>1.1499999999999999</v>
          </cell>
          <cell r="CG64">
            <v>1.1499999999999999</v>
          </cell>
          <cell r="CH64">
            <v>1.1499999999999999</v>
          </cell>
          <cell r="CI64">
            <v>1.1499999999999999</v>
          </cell>
          <cell r="CJ64">
            <v>1.1499999999999999</v>
          </cell>
          <cell r="CK64">
            <v>1.1499999999999999</v>
          </cell>
          <cell r="CL64">
            <v>1.1499999999999999</v>
          </cell>
        </row>
        <row r="65">
          <cell r="A65" t="str">
            <v>OTHERVolume</v>
          </cell>
          <cell r="B65" t="str">
            <v>Volume</v>
          </cell>
          <cell r="C65">
            <v>1</v>
          </cell>
          <cell r="D65">
            <v>1</v>
          </cell>
          <cell r="E65">
            <v>1</v>
          </cell>
          <cell r="F65">
            <v>1</v>
          </cell>
          <cell r="G65">
            <v>1</v>
          </cell>
          <cell r="H65">
            <v>1</v>
          </cell>
          <cell r="I65">
            <v>1</v>
          </cell>
          <cell r="J65">
            <v>1</v>
          </cell>
          <cell r="K65">
            <v>1</v>
          </cell>
          <cell r="L65">
            <v>1</v>
          </cell>
          <cell r="M65">
            <v>1</v>
          </cell>
          <cell r="N65">
            <v>1</v>
          </cell>
          <cell r="O65">
            <v>1</v>
          </cell>
          <cell r="P65">
            <v>1</v>
          </cell>
          <cell r="Q65">
            <v>1</v>
          </cell>
          <cell r="R65">
            <v>1</v>
          </cell>
          <cell r="S65">
            <v>1</v>
          </cell>
          <cell r="T65">
            <v>1</v>
          </cell>
          <cell r="U65">
            <v>1</v>
          </cell>
          <cell r="V65">
            <v>1</v>
          </cell>
          <cell r="W65">
            <v>1</v>
          </cell>
          <cell r="X65">
            <v>1</v>
          </cell>
          <cell r="Y65">
            <v>0.8</v>
          </cell>
          <cell r="Z65">
            <v>0.8</v>
          </cell>
          <cell r="AA65">
            <v>0.8</v>
          </cell>
          <cell r="AB65">
            <v>0.8</v>
          </cell>
          <cell r="AC65">
            <v>0.8</v>
          </cell>
          <cell r="AD65">
            <v>0.8</v>
          </cell>
          <cell r="AE65">
            <v>0.8</v>
          </cell>
          <cell r="AF65">
            <v>0.8</v>
          </cell>
          <cell r="AG65">
            <v>0.8</v>
          </cell>
          <cell r="AH65">
            <v>0.8</v>
          </cell>
          <cell r="AI65">
            <v>0.8</v>
          </cell>
          <cell r="AJ65">
            <v>0.8</v>
          </cell>
          <cell r="AK65">
            <v>0.8</v>
          </cell>
          <cell r="AL65">
            <v>0.8</v>
          </cell>
          <cell r="AM65">
            <v>0.8</v>
          </cell>
          <cell r="AN65">
            <v>0.8</v>
          </cell>
          <cell r="AO65">
            <v>0.8</v>
          </cell>
          <cell r="AP65">
            <v>0.8</v>
          </cell>
          <cell r="AQ65">
            <v>0.8</v>
          </cell>
          <cell r="AR65">
            <v>0.8</v>
          </cell>
          <cell r="AS65">
            <v>0.8</v>
          </cell>
          <cell r="AT65">
            <v>0.8</v>
          </cell>
          <cell r="AU65">
            <v>0.9</v>
          </cell>
          <cell r="AV65">
            <v>0.9</v>
          </cell>
          <cell r="AW65">
            <v>0.9</v>
          </cell>
          <cell r="AX65">
            <v>0.9</v>
          </cell>
          <cell r="AY65">
            <v>0.9</v>
          </cell>
          <cell r="AZ65">
            <v>0.9</v>
          </cell>
          <cell r="BA65">
            <v>0.9</v>
          </cell>
          <cell r="BB65">
            <v>0.9</v>
          </cell>
          <cell r="BC65">
            <v>0.9</v>
          </cell>
          <cell r="BD65">
            <v>0.9</v>
          </cell>
          <cell r="BE65">
            <v>0.9</v>
          </cell>
          <cell r="BF65">
            <v>0.9</v>
          </cell>
          <cell r="BG65">
            <v>0.9</v>
          </cell>
          <cell r="BH65">
            <v>0.9</v>
          </cell>
          <cell r="BI65">
            <v>0.9</v>
          </cell>
          <cell r="BJ65">
            <v>0.9</v>
          </cell>
          <cell r="BK65">
            <v>0.9</v>
          </cell>
          <cell r="BL65">
            <v>0.9</v>
          </cell>
          <cell r="BM65">
            <v>0.9</v>
          </cell>
          <cell r="BN65">
            <v>0.9</v>
          </cell>
          <cell r="BO65">
            <v>0.9</v>
          </cell>
          <cell r="BP65">
            <v>0.9</v>
          </cell>
          <cell r="BQ65">
            <v>1.1499999999999999</v>
          </cell>
          <cell r="BR65">
            <v>1.1499999999999999</v>
          </cell>
          <cell r="BS65">
            <v>1.1499999999999999</v>
          </cell>
          <cell r="BT65">
            <v>1.1499999999999999</v>
          </cell>
          <cell r="BU65">
            <v>1.1499999999999999</v>
          </cell>
          <cell r="BV65">
            <v>1.1499999999999999</v>
          </cell>
          <cell r="BW65">
            <v>1.1499999999999999</v>
          </cell>
          <cell r="BX65">
            <v>1.1499999999999999</v>
          </cell>
          <cell r="BY65">
            <v>1.1499999999999999</v>
          </cell>
          <cell r="BZ65">
            <v>1.1499999999999999</v>
          </cell>
          <cell r="CA65">
            <v>1.1499999999999999</v>
          </cell>
          <cell r="CB65">
            <v>1.1499999999999999</v>
          </cell>
          <cell r="CC65">
            <v>1.1499999999999999</v>
          </cell>
          <cell r="CD65">
            <v>1.1499999999999999</v>
          </cell>
          <cell r="CE65">
            <v>1.1499999999999999</v>
          </cell>
          <cell r="CF65">
            <v>1.1499999999999999</v>
          </cell>
          <cell r="CG65">
            <v>1.1499999999999999</v>
          </cell>
          <cell r="CH65">
            <v>1.1499999999999999</v>
          </cell>
          <cell r="CI65">
            <v>1.1499999999999999</v>
          </cell>
          <cell r="CJ65">
            <v>1.1499999999999999</v>
          </cell>
          <cell r="CK65">
            <v>1.1499999999999999</v>
          </cell>
          <cell r="CL65">
            <v>1.1499999999999999</v>
          </cell>
        </row>
        <row r="66">
          <cell r="A66" t="str">
            <v>OTHERMembers</v>
          </cell>
          <cell r="B66" t="str">
            <v>Members</v>
          </cell>
          <cell r="C66">
            <v>1</v>
          </cell>
          <cell r="D66">
            <v>1</v>
          </cell>
          <cell r="E66">
            <v>1</v>
          </cell>
          <cell r="F66">
            <v>1</v>
          </cell>
          <cell r="G66">
            <v>1</v>
          </cell>
          <cell r="H66">
            <v>1</v>
          </cell>
          <cell r="I66">
            <v>1</v>
          </cell>
          <cell r="J66">
            <v>1</v>
          </cell>
          <cell r="K66">
            <v>1</v>
          </cell>
          <cell r="L66">
            <v>1</v>
          </cell>
          <cell r="M66">
            <v>1</v>
          </cell>
          <cell r="N66">
            <v>1</v>
          </cell>
          <cell r="O66">
            <v>1</v>
          </cell>
          <cell r="P66">
            <v>1</v>
          </cell>
          <cell r="Q66">
            <v>1</v>
          </cell>
          <cell r="R66">
            <v>1</v>
          </cell>
          <cell r="S66">
            <v>1</v>
          </cell>
          <cell r="T66">
            <v>1</v>
          </cell>
          <cell r="U66">
            <v>1</v>
          </cell>
          <cell r="V66">
            <v>1</v>
          </cell>
          <cell r="W66">
            <v>1</v>
          </cell>
          <cell r="X66">
            <v>1</v>
          </cell>
          <cell r="Y66">
            <v>0.8</v>
          </cell>
          <cell r="Z66">
            <v>0.8</v>
          </cell>
          <cell r="AA66">
            <v>0.8</v>
          </cell>
          <cell r="AB66">
            <v>0.8</v>
          </cell>
          <cell r="AC66">
            <v>0.8</v>
          </cell>
          <cell r="AD66">
            <v>0.8</v>
          </cell>
          <cell r="AE66">
            <v>0.8</v>
          </cell>
          <cell r="AF66">
            <v>0.8</v>
          </cell>
          <cell r="AG66">
            <v>0.8</v>
          </cell>
          <cell r="AH66">
            <v>0.8</v>
          </cell>
          <cell r="AI66">
            <v>0.8</v>
          </cell>
          <cell r="AJ66">
            <v>0.8</v>
          </cell>
          <cell r="AK66">
            <v>0.8</v>
          </cell>
          <cell r="AL66">
            <v>0.8</v>
          </cell>
          <cell r="AM66">
            <v>0.8</v>
          </cell>
          <cell r="AN66">
            <v>0.8</v>
          </cell>
          <cell r="AO66">
            <v>0.8</v>
          </cell>
          <cell r="AP66">
            <v>0.8</v>
          </cell>
          <cell r="AQ66">
            <v>0.8</v>
          </cell>
          <cell r="AR66">
            <v>0.8</v>
          </cell>
          <cell r="AS66">
            <v>0.8</v>
          </cell>
          <cell r="AT66">
            <v>0.8</v>
          </cell>
          <cell r="AU66">
            <v>0.9</v>
          </cell>
          <cell r="AV66">
            <v>0.9</v>
          </cell>
          <cell r="AW66">
            <v>0.9</v>
          </cell>
          <cell r="AX66">
            <v>0.9</v>
          </cell>
          <cell r="AY66">
            <v>0.9</v>
          </cell>
          <cell r="AZ66">
            <v>0.9</v>
          </cell>
          <cell r="BA66">
            <v>0.9</v>
          </cell>
          <cell r="BB66">
            <v>0.9</v>
          </cell>
          <cell r="BC66">
            <v>0.9</v>
          </cell>
          <cell r="BD66">
            <v>0.9</v>
          </cell>
          <cell r="BE66">
            <v>0.9</v>
          </cell>
          <cell r="BF66">
            <v>0.9</v>
          </cell>
          <cell r="BG66">
            <v>0.9</v>
          </cell>
          <cell r="BH66">
            <v>0.9</v>
          </cell>
          <cell r="BI66">
            <v>0.9</v>
          </cell>
          <cell r="BJ66">
            <v>0.9</v>
          </cell>
          <cell r="BK66">
            <v>0.9</v>
          </cell>
          <cell r="BL66">
            <v>0.9</v>
          </cell>
          <cell r="BM66">
            <v>0.9</v>
          </cell>
          <cell r="BN66">
            <v>0.9</v>
          </cell>
          <cell r="BO66">
            <v>0.9</v>
          </cell>
          <cell r="BP66">
            <v>0.9</v>
          </cell>
          <cell r="BQ66">
            <v>1.1499999999999999</v>
          </cell>
          <cell r="BR66">
            <v>1.1499999999999999</v>
          </cell>
          <cell r="BS66">
            <v>1.1499999999999999</v>
          </cell>
          <cell r="BT66">
            <v>1.1499999999999999</v>
          </cell>
          <cell r="BU66">
            <v>1.1499999999999999</v>
          </cell>
          <cell r="BV66">
            <v>1.1499999999999999</v>
          </cell>
          <cell r="BW66">
            <v>1.1499999999999999</v>
          </cell>
          <cell r="BX66">
            <v>1.1499999999999999</v>
          </cell>
          <cell r="BY66">
            <v>1.1499999999999999</v>
          </cell>
          <cell r="BZ66">
            <v>1.1499999999999999</v>
          </cell>
          <cell r="CA66">
            <v>1.1499999999999999</v>
          </cell>
          <cell r="CB66">
            <v>1.1499999999999999</v>
          </cell>
          <cell r="CC66">
            <v>1.1499999999999999</v>
          </cell>
          <cell r="CD66">
            <v>1.1499999999999999</v>
          </cell>
          <cell r="CE66">
            <v>1.1499999999999999</v>
          </cell>
          <cell r="CF66">
            <v>1.1499999999999999</v>
          </cell>
          <cell r="CG66">
            <v>1.1499999999999999</v>
          </cell>
          <cell r="CH66">
            <v>1.1499999999999999</v>
          </cell>
          <cell r="CI66">
            <v>1.1499999999999999</v>
          </cell>
          <cell r="CJ66">
            <v>1.1499999999999999</v>
          </cell>
          <cell r="CK66">
            <v>1.1499999999999999</v>
          </cell>
          <cell r="CL66">
            <v>1.1499999999999999</v>
          </cell>
        </row>
        <row r="67">
          <cell r="A67" t="str">
            <v>OTHER</v>
          </cell>
          <cell r="B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0.8</v>
          </cell>
          <cell r="Z67">
            <v>0.8</v>
          </cell>
          <cell r="AA67">
            <v>0.8</v>
          </cell>
          <cell r="AB67">
            <v>0.8</v>
          </cell>
          <cell r="AC67">
            <v>0.8</v>
          </cell>
          <cell r="AD67">
            <v>0.8</v>
          </cell>
          <cell r="AE67">
            <v>0.8</v>
          </cell>
          <cell r="AF67">
            <v>0.8</v>
          </cell>
          <cell r="AG67">
            <v>0.8</v>
          </cell>
          <cell r="AH67">
            <v>0.8</v>
          </cell>
          <cell r="AI67">
            <v>0.8</v>
          </cell>
          <cell r="AJ67">
            <v>0.8</v>
          </cell>
          <cell r="AK67">
            <v>0.8</v>
          </cell>
          <cell r="AL67">
            <v>0.8</v>
          </cell>
          <cell r="AM67">
            <v>0.8</v>
          </cell>
          <cell r="AN67">
            <v>0.8</v>
          </cell>
          <cell r="AO67">
            <v>0.8</v>
          </cell>
          <cell r="AP67">
            <v>0.8</v>
          </cell>
          <cell r="AQ67">
            <v>0.8</v>
          </cell>
          <cell r="AR67">
            <v>0.8</v>
          </cell>
          <cell r="AS67">
            <v>0.8</v>
          </cell>
          <cell r="AT67">
            <v>0.8</v>
          </cell>
          <cell r="AU67">
            <v>0.9</v>
          </cell>
          <cell r="AV67">
            <v>0.9</v>
          </cell>
          <cell r="AW67">
            <v>0.9</v>
          </cell>
          <cell r="AX67">
            <v>0.9</v>
          </cell>
          <cell r="AY67">
            <v>0.9</v>
          </cell>
          <cell r="AZ67">
            <v>0.9</v>
          </cell>
          <cell r="BA67">
            <v>0.9</v>
          </cell>
          <cell r="BB67">
            <v>0.9</v>
          </cell>
          <cell r="BC67">
            <v>0.9</v>
          </cell>
          <cell r="BD67">
            <v>0.9</v>
          </cell>
          <cell r="BE67">
            <v>0.9</v>
          </cell>
          <cell r="BF67">
            <v>0.9</v>
          </cell>
          <cell r="BG67">
            <v>0.9</v>
          </cell>
          <cell r="BH67">
            <v>0.9</v>
          </cell>
          <cell r="BI67">
            <v>0.9</v>
          </cell>
          <cell r="BJ67">
            <v>0.9</v>
          </cell>
          <cell r="BK67">
            <v>0.9</v>
          </cell>
          <cell r="BL67">
            <v>0.9</v>
          </cell>
          <cell r="BM67">
            <v>0.9</v>
          </cell>
          <cell r="BN67">
            <v>0.9</v>
          </cell>
          <cell r="BO67">
            <v>0.9</v>
          </cell>
          <cell r="BP67">
            <v>0.9</v>
          </cell>
          <cell r="BQ67">
            <v>1.1499999999999999</v>
          </cell>
          <cell r="BR67">
            <v>1.1499999999999999</v>
          </cell>
          <cell r="BS67">
            <v>1.1499999999999999</v>
          </cell>
          <cell r="BT67">
            <v>1.1499999999999999</v>
          </cell>
          <cell r="BU67">
            <v>1.1499999999999999</v>
          </cell>
          <cell r="BV67">
            <v>1.1499999999999999</v>
          </cell>
          <cell r="BW67">
            <v>1.1499999999999999</v>
          </cell>
          <cell r="BX67">
            <v>1.1499999999999999</v>
          </cell>
          <cell r="BY67">
            <v>1.1499999999999999</v>
          </cell>
          <cell r="BZ67">
            <v>1.1499999999999999</v>
          </cell>
          <cell r="CA67">
            <v>1.1499999999999999</v>
          </cell>
          <cell r="CB67">
            <v>1.1499999999999999</v>
          </cell>
          <cell r="CC67">
            <v>1.1499999999999999</v>
          </cell>
          <cell r="CD67">
            <v>1.1499999999999999</v>
          </cell>
          <cell r="CE67">
            <v>1.1499999999999999</v>
          </cell>
          <cell r="CF67">
            <v>1.1499999999999999</v>
          </cell>
          <cell r="CG67">
            <v>1.1499999999999999</v>
          </cell>
          <cell r="CH67">
            <v>1.1499999999999999</v>
          </cell>
          <cell r="CI67">
            <v>1.1499999999999999</v>
          </cell>
          <cell r="CJ67">
            <v>1.1499999999999999</v>
          </cell>
          <cell r="CK67">
            <v>1.1499999999999999</v>
          </cell>
          <cell r="CL67">
            <v>1.1499999999999999</v>
          </cell>
        </row>
        <row r="68">
          <cell r="A68" t="str">
            <v>OTHER</v>
          </cell>
          <cell r="B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0.8</v>
          </cell>
          <cell r="Z68">
            <v>0.8</v>
          </cell>
          <cell r="AA68">
            <v>0.8</v>
          </cell>
          <cell r="AB68">
            <v>0.8</v>
          </cell>
          <cell r="AC68">
            <v>0.8</v>
          </cell>
          <cell r="AD68">
            <v>0.8</v>
          </cell>
          <cell r="AE68">
            <v>0.8</v>
          </cell>
          <cell r="AF68">
            <v>0.8</v>
          </cell>
          <cell r="AG68">
            <v>0.8</v>
          </cell>
          <cell r="AH68">
            <v>0.8</v>
          </cell>
          <cell r="AI68">
            <v>0.8</v>
          </cell>
          <cell r="AJ68">
            <v>0.8</v>
          </cell>
          <cell r="AK68">
            <v>0.8</v>
          </cell>
          <cell r="AL68">
            <v>0.8</v>
          </cell>
          <cell r="AM68">
            <v>0.8</v>
          </cell>
          <cell r="AN68">
            <v>0.8</v>
          </cell>
          <cell r="AO68">
            <v>0.8</v>
          </cell>
          <cell r="AP68">
            <v>0.8</v>
          </cell>
          <cell r="AQ68">
            <v>0.8</v>
          </cell>
          <cell r="AR68">
            <v>0.8</v>
          </cell>
          <cell r="AS68">
            <v>0.8</v>
          </cell>
          <cell r="AT68">
            <v>0.8</v>
          </cell>
          <cell r="AU68">
            <v>0.9</v>
          </cell>
          <cell r="AV68">
            <v>0.9</v>
          </cell>
          <cell r="AW68">
            <v>0.9</v>
          </cell>
          <cell r="AX68">
            <v>0.9</v>
          </cell>
          <cell r="AY68">
            <v>0.9</v>
          </cell>
          <cell r="AZ68">
            <v>0.9</v>
          </cell>
          <cell r="BA68">
            <v>0.9</v>
          </cell>
          <cell r="BB68">
            <v>0.9</v>
          </cell>
          <cell r="BC68">
            <v>0.9</v>
          </cell>
          <cell r="BD68">
            <v>0.9</v>
          </cell>
          <cell r="BE68">
            <v>0.9</v>
          </cell>
          <cell r="BF68">
            <v>0.9</v>
          </cell>
          <cell r="BG68">
            <v>0.9</v>
          </cell>
          <cell r="BH68">
            <v>0.9</v>
          </cell>
          <cell r="BI68">
            <v>0.9</v>
          </cell>
          <cell r="BJ68">
            <v>0.9</v>
          </cell>
          <cell r="BK68">
            <v>0.9</v>
          </cell>
          <cell r="BL68">
            <v>0.9</v>
          </cell>
          <cell r="BM68">
            <v>0.9</v>
          </cell>
          <cell r="BN68">
            <v>0.9</v>
          </cell>
          <cell r="BO68">
            <v>0.9</v>
          </cell>
          <cell r="BP68">
            <v>0.9</v>
          </cell>
          <cell r="BQ68">
            <v>1.1499999999999999</v>
          </cell>
          <cell r="BR68">
            <v>1.1499999999999999</v>
          </cell>
          <cell r="BS68">
            <v>1.1499999999999999</v>
          </cell>
          <cell r="BT68">
            <v>1.1499999999999999</v>
          </cell>
          <cell r="BU68">
            <v>1.1499999999999999</v>
          </cell>
          <cell r="BV68">
            <v>1.1499999999999999</v>
          </cell>
          <cell r="BW68">
            <v>1.1499999999999999</v>
          </cell>
          <cell r="BX68">
            <v>1.1499999999999999</v>
          </cell>
          <cell r="BY68">
            <v>1.1499999999999999</v>
          </cell>
          <cell r="BZ68">
            <v>1.1499999999999999</v>
          </cell>
          <cell r="CA68">
            <v>1.1499999999999999</v>
          </cell>
          <cell r="CB68">
            <v>1.1499999999999999</v>
          </cell>
          <cell r="CC68">
            <v>1.1499999999999999</v>
          </cell>
          <cell r="CD68">
            <v>1.1499999999999999</v>
          </cell>
          <cell r="CE68">
            <v>1.1499999999999999</v>
          </cell>
          <cell r="CF68">
            <v>1.1499999999999999</v>
          </cell>
          <cell r="CG68">
            <v>1.1499999999999999</v>
          </cell>
          <cell r="CH68">
            <v>1.1499999999999999</v>
          </cell>
          <cell r="CI68">
            <v>1.1499999999999999</v>
          </cell>
          <cell r="CJ68">
            <v>1.1499999999999999</v>
          </cell>
          <cell r="CK68">
            <v>1.1499999999999999</v>
          </cell>
          <cell r="CL68">
            <v>1.1499999999999999</v>
          </cell>
        </row>
        <row r="69">
          <cell r="A69" t="str">
            <v>OTHER</v>
          </cell>
          <cell r="B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0.8</v>
          </cell>
          <cell r="Z69">
            <v>0.8</v>
          </cell>
          <cell r="AA69">
            <v>0.8</v>
          </cell>
          <cell r="AB69">
            <v>0.8</v>
          </cell>
          <cell r="AC69">
            <v>0.8</v>
          </cell>
          <cell r="AD69">
            <v>0.8</v>
          </cell>
          <cell r="AE69">
            <v>0.8</v>
          </cell>
          <cell r="AF69">
            <v>0.8</v>
          </cell>
          <cell r="AG69">
            <v>0.8</v>
          </cell>
          <cell r="AH69">
            <v>0.8</v>
          </cell>
          <cell r="AI69">
            <v>0.8</v>
          </cell>
          <cell r="AJ69">
            <v>0.8</v>
          </cell>
          <cell r="AK69">
            <v>0.8</v>
          </cell>
          <cell r="AL69">
            <v>0.8</v>
          </cell>
          <cell r="AM69">
            <v>0.8</v>
          </cell>
          <cell r="AN69">
            <v>0.8</v>
          </cell>
          <cell r="AO69">
            <v>0.8</v>
          </cell>
          <cell r="AP69">
            <v>0.8</v>
          </cell>
          <cell r="AQ69">
            <v>0.8</v>
          </cell>
          <cell r="AR69">
            <v>0.8</v>
          </cell>
          <cell r="AS69">
            <v>0.8</v>
          </cell>
          <cell r="AT69">
            <v>0.8</v>
          </cell>
          <cell r="AU69">
            <v>0.9</v>
          </cell>
          <cell r="AV69">
            <v>0.9</v>
          </cell>
          <cell r="AW69">
            <v>0.9</v>
          </cell>
          <cell r="AX69">
            <v>0.9</v>
          </cell>
          <cell r="AY69">
            <v>0.9</v>
          </cell>
          <cell r="AZ69">
            <v>0.9</v>
          </cell>
          <cell r="BA69">
            <v>0.9</v>
          </cell>
          <cell r="BB69">
            <v>0.9</v>
          </cell>
          <cell r="BC69">
            <v>0.9</v>
          </cell>
          <cell r="BD69">
            <v>0.9</v>
          </cell>
          <cell r="BE69">
            <v>0.9</v>
          </cell>
          <cell r="BF69">
            <v>0.9</v>
          </cell>
          <cell r="BG69">
            <v>0.9</v>
          </cell>
          <cell r="BH69">
            <v>0.9</v>
          </cell>
          <cell r="BI69">
            <v>0.9</v>
          </cell>
          <cell r="BJ69">
            <v>0.9</v>
          </cell>
          <cell r="BK69">
            <v>0.9</v>
          </cell>
          <cell r="BL69">
            <v>0.9</v>
          </cell>
          <cell r="BM69">
            <v>0.9</v>
          </cell>
          <cell r="BN69">
            <v>0.9</v>
          </cell>
          <cell r="BO69">
            <v>0.9</v>
          </cell>
          <cell r="BP69">
            <v>0.9</v>
          </cell>
          <cell r="BQ69">
            <v>1.1499999999999999</v>
          </cell>
          <cell r="BR69">
            <v>1.1499999999999999</v>
          </cell>
          <cell r="BS69">
            <v>1.1499999999999999</v>
          </cell>
          <cell r="BT69">
            <v>1.1499999999999999</v>
          </cell>
          <cell r="BU69">
            <v>1.1499999999999999</v>
          </cell>
          <cell r="BV69">
            <v>1.1499999999999999</v>
          </cell>
          <cell r="BW69">
            <v>1.1499999999999999</v>
          </cell>
          <cell r="BX69">
            <v>1.1499999999999999</v>
          </cell>
          <cell r="BY69">
            <v>1.1499999999999999</v>
          </cell>
          <cell r="BZ69">
            <v>1.1499999999999999</v>
          </cell>
          <cell r="CA69">
            <v>1.1499999999999999</v>
          </cell>
          <cell r="CB69">
            <v>1.1499999999999999</v>
          </cell>
          <cell r="CC69">
            <v>1.1499999999999999</v>
          </cell>
          <cell r="CD69">
            <v>1.1499999999999999</v>
          </cell>
          <cell r="CE69">
            <v>1.1499999999999999</v>
          </cell>
          <cell r="CF69">
            <v>1.1499999999999999</v>
          </cell>
          <cell r="CG69">
            <v>1.1499999999999999</v>
          </cell>
          <cell r="CH69">
            <v>1.1499999999999999</v>
          </cell>
          <cell r="CI69">
            <v>1.1499999999999999</v>
          </cell>
          <cell r="CJ69">
            <v>1.1499999999999999</v>
          </cell>
          <cell r="CK69">
            <v>1.1499999999999999</v>
          </cell>
          <cell r="CL69">
            <v>1.1499999999999999</v>
          </cell>
        </row>
        <row r="70">
          <cell r="A70" t="str">
            <v>OTHER</v>
          </cell>
          <cell r="B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0.8</v>
          </cell>
          <cell r="Z70">
            <v>0.8</v>
          </cell>
          <cell r="AA70">
            <v>0.8</v>
          </cell>
          <cell r="AB70">
            <v>0.8</v>
          </cell>
          <cell r="AC70">
            <v>0.8</v>
          </cell>
          <cell r="AD70">
            <v>0.8</v>
          </cell>
          <cell r="AE70">
            <v>0.8</v>
          </cell>
          <cell r="AF70">
            <v>0.8</v>
          </cell>
          <cell r="AG70">
            <v>0.8</v>
          </cell>
          <cell r="AH70">
            <v>0.8</v>
          </cell>
          <cell r="AI70">
            <v>0.8</v>
          </cell>
          <cell r="AJ70">
            <v>0.8</v>
          </cell>
          <cell r="AK70">
            <v>0.8</v>
          </cell>
          <cell r="AL70">
            <v>0.8</v>
          </cell>
          <cell r="AM70">
            <v>0.8</v>
          </cell>
          <cell r="AN70">
            <v>0.8</v>
          </cell>
          <cell r="AO70">
            <v>0.8</v>
          </cell>
          <cell r="AP70">
            <v>0.8</v>
          </cell>
          <cell r="AQ70">
            <v>0.8</v>
          </cell>
          <cell r="AR70">
            <v>0.8</v>
          </cell>
          <cell r="AS70">
            <v>0.8</v>
          </cell>
          <cell r="AT70">
            <v>0.8</v>
          </cell>
          <cell r="AU70">
            <v>0.9</v>
          </cell>
          <cell r="AV70">
            <v>0.9</v>
          </cell>
          <cell r="AW70">
            <v>0.9</v>
          </cell>
          <cell r="AX70">
            <v>0.9</v>
          </cell>
          <cell r="AY70">
            <v>0.9</v>
          </cell>
          <cell r="AZ70">
            <v>0.9</v>
          </cell>
          <cell r="BA70">
            <v>0.9</v>
          </cell>
          <cell r="BB70">
            <v>0.9</v>
          </cell>
          <cell r="BC70">
            <v>0.9</v>
          </cell>
          <cell r="BD70">
            <v>0.9</v>
          </cell>
          <cell r="BE70">
            <v>0.9</v>
          </cell>
          <cell r="BF70">
            <v>0.9</v>
          </cell>
          <cell r="BG70">
            <v>0.9</v>
          </cell>
          <cell r="BH70">
            <v>0.9</v>
          </cell>
          <cell r="BI70">
            <v>0.9</v>
          </cell>
          <cell r="BJ70">
            <v>0.9</v>
          </cell>
          <cell r="BK70">
            <v>0.9</v>
          </cell>
          <cell r="BL70">
            <v>0.9</v>
          </cell>
          <cell r="BM70">
            <v>0.9</v>
          </cell>
          <cell r="BN70">
            <v>0.9</v>
          </cell>
          <cell r="BO70">
            <v>0.9</v>
          </cell>
          <cell r="BP70">
            <v>0.9</v>
          </cell>
          <cell r="BQ70">
            <v>1.1499999999999999</v>
          </cell>
          <cell r="BR70">
            <v>1.1499999999999999</v>
          </cell>
          <cell r="BS70">
            <v>1.1499999999999999</v>
          </cell>
          <cell r="BT70">
            <v>1.1499999999999999</v>
          </cell>
          <cell r="BU70">
            <v>1.1499999999999999</v>
          </cell>
          <cell r="BV70">
            <v>1.1499999999999999</v>
          </cell>
          <cell r="BW70">
            <v>1.1499999999999999</v>
          </cell>
          <cell r="BX70">
            <v>1.1499999999999999</v>
          </cell>
          <cell r="BY70">
            <v>1.1499999999999999</v>
          </cell>
          <cell r="BZ70">
            <v>1.1499999999999999</v>
          </cell>
          <cell r="CA70">
            <v>1.1499999999999999</v>
          </cell>
          <cell r="CB70">
            <v>1.1499999999999999</v>
          </cell>
          <cell r="CC70">
            <v>1.1499999999999999</v>
          </cell>
          <cell r="CD70">
            <v>1.1499999999999999</v>
          </cell>
          <cell r="CE70">
            <v>1.1499999999999999</v>
          </cell>
          <cell r="CF70">
            <v>1.1499999999999999</v>
          </cell>
          <cell r="CG70">
            <v>1.1499999999999999</v>
          </cell>
          <cell r="CH70">
            <v>1.1499999999999999</v>
          </cell>
          <cell r="CI70">
            <v>1.1499999999999999</v>
          </cell>
          <cell r="CJ70">
            <v>1.1499999999999999</v>
          </cell>
          <cell r="CK70">
            <v>1.1499999999999999</v>
          </cell>
          <cell r="CL70">
            <v>1.1499999999999999</v>
          </cell>
        </row>
        <row r="71">
          <cell r="A71" t="str">
            <v>OTHER</v>
          </cell>
          <cell r="B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0.8</v>
          </cell>
          <cell r="Z71">
            <v>0.8</v>
          </cell>
          <cell r="AA71">
            <v>0.8</v>
          </cell>
          <cell r="AB71">
            <v>0.8</v>
          </cell>
          <cell r="AC71">
            <v>0.8</v>
          </cell>
          <cell r="AD71">
            <v>0.8</v>
          </cell>
          <cell r="AE71">
            <v>0.8</v>
          </cell>
          <cell r="AF71">
            <v>0.8</v>
          </cell>
          <cell r="AG71">
            <v>0.8</v>
          </cell>
          <cell r="AH71">
            <v>0.8</v>
          </cell>
          <cell r="AI71">
            <v>0.8</v>
          </cell>
          <cell r="AJ71">
            <v>0.8</v>
          </cell>
          <cell r="AK71">
            <v>0.8</v>
          </cell>
          <cell r="AL71">
            <v>0.8</v>
          </cell>
          <cell r="AM71">
            <v>0.8</v>
          </cell>
          <cell r="AN71">
            <v>0.8</v>
          </cell>
          <cell r="AO71">
            <v>0.8</v>
          </cell>
          <cell r="AP71">
            <v>0.8</v>
          </cell>
          <cell r="AQ71">
            <v>0.8</v>
          </cell>
          <cell r="AR71">
            <v>0.8</v>
          </cell>
          <cell r="AS71">
            <v>0.8</v>
          </cell>
          <cell r="AT71">
            <v>0.8</v>
          </cell>
          <cell r="AU71">
            <v>0.9</v>
          </cell>
          <cell r="AV71">
            <v>0.9</v>
          </cell>
          <cell r="AW71">
            <v>0.9</v>
          </cell>
          <cell r="AX71">
            <v>0.9</v>
          </cell>
          <cell r="AY71">
            <v>0.9</v>
          </cell>
          <cell r="AZ71">
            <v>0.9</v>
          </cell>
          <cell r="BA71">
            <v>0.9</v>
          </cell>
          <cell r="BB71">
            <v>0.9</v>
          </cell>
          <cell r="BC71">
            <v>0.9</v>
          </cell>
          <cell r="BD71">
            <v>0.9</v>
          </cell>
          <cell r="BE71">
            <v>0.9</v>
          </cell>
          <cell r="BF71">
            <v>0.9</v>
          </cell>
          <cell r="BG71">
            <v>0.9</v>
          </cell>
          <cell r="BH71">
            <v>0.9</v>
          </cell>
          <cell r="BI71">
            <v>0.9</v>
          </cell>
          <cell r="BJ71">
            <v>0.9</v>
          </cell>
          <cell r="BK71">
            <v>0.9</v>
          </cell>
          <cell r="BL71">
            <v>0.9</v>
          </cell>
          <cell r="BM71">
            <v>0.9</v>
          </cell>
          <cell r="BN71">
            <v>0.9</v>
          </cell>
          <cell r="BO71">
            <v>0.9</v>
          </cell>
          <cell r="BP71">
            <v>0.9</v>
          </cell>
          <cell r="BQ71">
            <v>1.1499999999999999</v>
          </cell>
          <cell r="BR71">
            <v>1.1499999999999999</v>
          </cell>
          <cell r="BS71">
            <v>1.1499999999999999</v>
          </cell>
          <cell r="BT71">
            <v>1.1499999999999999</v>
          </cell>
          <cell r="BU71">
            <v>1.1499999999999999</v>
          </cell>
          <cell r="BV71">
            <v>1.1499999999999999</v>
          </cell>
          <cell r="BW71">
            <v>1.1499999999999999</v>
          </cell>
          <cell r="BX71">
            <v>1.1499999999999999</v>
          </cell>
          <cell r="BY71">
            <v>1.1499999999999999</v>
          </cell>
          <cell r="BZ71">
            <v>1.1499999999999999</v>
          </cell>
          <cell r="CA71">
            <v>1.1499999999999999</v>
          </cell>
          <cell r="CB71">
            <v>1.1499999999999999</v>
          </cell>
          <cell r="CC71">
            <v>1.1499999999999999</v>
          </cell>
          <cell r="CD71">
            <v>1.1499999999999999</v>
          </cell>
          <cell r="CE71">
            <v>1.1499999999999999</v>
          </cell>
          <cell r="CF71">
            <v>1.1499999999999999</v>
          </cell>
          <cell r="CG71">
            <v>1.1499999999999999</v>
          </cell>
          <cell r="CH71">
            <v>1.1499999999999999</v>
          </cell>
          <cell r="CI71">
            <v>1.1499999999999999</v>
          </cell>
          <cell r="CJ71">
            <v>1.1499999999999999</v>
          </cell>
          <cell r="CK71">
            <v>1.1499999999999999</v>
          </cell>
          <cell r="CL71">
            <v>1.1499999999999999</v>
          </cell>
        </row>
        <row r="72">
          <cell r="A72" t="str">
            <v>OTHER</v>
          </cell>
          <cell r="D72">
            <v>0</v>
          </cell>
          <cell r="Y72">
            <v>0.8</v>
          </cell>
          <cell r="Z72">
            <v>0.8</v>
          </cell>
          <cell r="AU72">
            <v>0.9</v>
          </cell>
          <cell r="AV72">
            <v>0.9</v>
          </cell>
          <cell r="BQ72">
            <v>1.1499999999999999</v>
          </cell>
          <cell r="BR72">
            <v>1.1499999999999999</v>
          </cell>
        </row>
        <row r="73">
          <cell r="A73" t="str">
            <v xml:space="preserve">OTHERNGAR </v>
          </cell>
          <cell r="B73" t="str">
            <v xml:space="preserve">NGAR </v>
          </cell>
          <cell r="C73">
            <v>1</v>
          </cell>
          <cell r="D73">
            <v>1</v>
          </cell>
          <cell r="E73">
            <v>1</v>
          </cell>
          <cell r="F73">
            <v>1</v>
          </cell>
          <cell r="G73">
            <v>1</v>
          </cell>
          <cell r="H73">
            <v>1</v>
          </cell>
          <cell r="I73">
            <v>1</v>
          </cell>
          <cell r="J73">
            <v>1</v>
          </cell>
          <cell r="K73">
            <v>1</v>
          </cell>
          <cell r="L73">
            <v>1</v>
          </cell>
          <cell r="M73">
            <v>1</v>
          </cell>
          <cell r="N73">
            <v>1</v>
          </cell>
          <cell r="O73">
            <v>1</v>
          </cell>
          <cell r="P73">
            <v>1</v>
          </cell>
          <cell r="Q73">
            <v>1</v>
          </cell>
          <cell r="R73">
            <v>1</v>
          </cell>
          <cell r="S73">
            <v>1</v>
          </cell>
          <cell r="T73">
            <v>1</v>
          </cell>
          <cell r="U73">
            <v>1</v>
          </cell>
          <cell r="V73">
            <v>1</v>
          </cell>
          <cell r="W73">
            <v>1</v>
          </cell>
          <cell r="X73">
            <v>1</v>
          </cell>
          <cell r="Y73">
            <v>0.8</v>
          </cell>
          <cell r="Z73">
            <v>0.8</v>
          </cell>
          <cell r="AA73">
            <v>0.8</v>
          </cell>
          <cell r="AB73">
            <v>0.8</v>
          </cell>
          <cell r="AC73">
            <v>0.8</v>
          </cell>
          <cell r="AD73">
            <v>0.8</v>
          </cell>
          <cell r="AE73">
            <v>0.8</v>
          </cell>
          <cell r="AF73">
            <v>0.8</v>
          </cell>
          <cell r="AG73">
            <v>0.8</v>
          </cell>
          <cell r="AH73">
            <v>0.8</v>
          </cell>
          <cell r="AI73">
            <v>0.8</v>
          </cell>
          <cell r="AJ73">
            <v>0.8</v>
          </cell>
          <cell r="AK73">
            <v>0.8</v>
          </cell>
          <cell r="AL73">
            <v>0.8</v>
          </cell>
          <cell r="AM73">
            <v>0.8</v>
          </cell>
          <cell r="AN73">
            <v>0.8</v>
          </cell>
          <cell r="AO73">
            <v>0.8</v>
          </cell>
          <cell r="AP73">
            <v>0.8</v>
          </cell>
          <cell r="AQ73">
            <v>0.8</v>
          </cell>
          <cell r="AR73">
            <v>0.8</v>
          </cell>
          <cell r="AS73">
            <v>0.8</v>
          </cell>
          <cell r="AT73">
            <v>0.8</v>
          </cell>
          <cell r="AU73">
            <v>0.9</v>
          </cell>
          <cell r="AV73">
            <v>0.9</v>
          </cell>
          <cell r="AW73">
            <v>0.9</v>
          </cell>
          <cell r="AX73">
            <v>0.9</v>
          </cell>
          <cell r="AY73">
            <v>0.9</v>
          </cell>
          <cell r="AZ73">
            <v>0.9</v>
          </cell>
          <cell r="BA73">
            <v>0.9</v>
          </cell>
          <cell r="BB73">
            <v>0.9</v>
          </cell>
          <cell r="BC73">
            <v>0.9</v>
          </cell>
          <cell r="BD73">
            <v>0.9</v>
          </cell>
          <cell r="BE73">
            <v>0.9</v>
          </cell>
          <cell r="BF73">
            <v>0.9</v>
          </cell>
          <cell r="BG73">
            <v>0.9</v>
          </cell>
          <cell r="BH73">
            <v>0.9</v>
          </cell>
          <cell r="BI73">
            <v>0.9</v>
          </cell>
          <cell r="BJ73">
            <v>0.9</v>
          </cell>
          <cell r="BK73">
            <v>0.9</v>
          </cell>
          <cell r="BL73">
            <v>0.9</v>
          </cell>
          <cell r="BM73">
            <v>0.9</v>
          </cell>
          <cell r="BN73">
            <v>0.9</v>
          </cell>
          <cell r="BO73">
            <v>0.9</v>
          </cell>
          <cell r="BP73">
            <v>0.9</v>
          </cell>
          <cell r="BQ73">
            <v>1.1499999999999999</v>
          </cell>
          <cell r="BR73">
            <v>1.1499999999999999</v>
          </cell>
          <cell r="BS73">
            <v>1.1499999999999999</v>
          </cell>
          <cell r="BT73">
            <v>1.1499999999999999</v>
          </cell>
          <cell r="BU73">
            <v>1.1499999999999999</v>
          </cell>
          <cell r="BV73">
            <v>1.1499999999999999</v>
          </cell>
          <cell r="BW73">
            <v>1.1499999999999999</v>
          </cell>
          <cell r="BX73">
            <v>1.1499999999999999</v>
          </cell>
          <cell r="BY73">
            <v>1.1499999999999999</v>
          </cell>
          <cell r="BZ73">
            <v>1.1499999999999999</v>
          </cell>
          <cell r="CA73">
            <v>1.1499999999999999</v>
          </cell>
          <cell r="CB73">
            <v>1.1499999999999999</v>
          </cell>
          <cell r="CC73">
            <v>1.1499999999999999</v>
          </cell>
          <cell r="CD73">
            <v>1.1499999999999999</v>
          </cell>
          <cell r="CE73">
            <v>1.1499999999999999</v>
          </cell>
          <cell r="CF73">
            <v>1.1499999999999999</v>
          </cell>
          <cell r="CG73">
            <v>1.1499999999999999</v>
          </cell>
          <cell r="CH73">
            <v>1.1499999999999999</v>
          </cell>
          <cell r="CI73">
            <v>1.1499999999999999</v>
          </cell>
          <cell r="CJ73">
            <v>1.1499999999999999</v>
          </cell>
          <cell r="CK73">
            <v>1.1499999999999999</v>
          </cell>
          <cell r="CL73">
            <v>1.1499999999999999</v>
          </cell>
        </row>
        <row r="74">
          <cell r="A74" t="str">
            <v>OTHER</v>
          </cell>
          <cell r="D74">
            <v>0</v>
          </cell>
          <cell r="E74">
            <v>0</v>
          </cell>
          <cell r="F74">
            <v>0</v>
          </cell>
          <cell r="G74">
            <v>0</v>
          </cell>
          <cell r="H74">
            <v>0</v>
          </cell>
          <cell r="I74">
            <v>0</v>
          </cell>
          <cell r="Z74">
            <v>0</v>
          </cell>
          <cell r="AA74">
            <v>0</v>
          </cell>
          <cell r="AB74">
            <v>0</v>
          </cell>
          <cell r="AC74">
            <v>0</v>
          </cell>
          <cell r="AD74">
            <v>0</v>
          </cell>
          <cell r="AE74">
            <v>0</v>
          </cell>
          <cell r="AV74">
            <v>0</v>
          </cell>
          <cell r="AW74">
            <v>0</v>
          </cell>
          <cell r="AX74">
            <v>0</v>
          </cell>
          <cell r="AY74">
            <v>0</v>
          </cell>
          <cell r="AZ74">
            <v>0</v>
          </cell>
          <cell r="BA74">
            <v>0</v>
          </cell>
          <cell r="BR74">
            <v>0</v>
          </cell>
          <cell r="BS74">
            <v>0</v>
          </cell>
          <cell r="BT74">
            <v>0</v>
          </cell>
          <cell r="BU74">
            <v>0</v>
          </cell>
          <cell r="BV74">
            <v>0</v>
          </cell>
          <cell r="BW74">
            <v>0</v>
          </cell>
        </row>
        <row r="75">
          <cell r="A75" t="str">
            <v>OTHER</v>
          </cell>
          <cell r="D75">
            <v>0</v>
          </cell>
          <cell r="E75">
            <v>0</v>
          </cell>
          <cell r="F75">
            <v>0</v>
          </cell>
          <cell r="G75">
            <v>0</v>
          </cell>
          <cell r="H75">
            <v>0</v>
          </cell>
          <cell r="I75">
            <v>0</v>
          </cell>
          <cell r="Z75">
            <v>0</v>
          </cell>
          <cell r="AA75">
            <v>0</v>
          </cell>
          <cell r="AB75">
            <v>0</v>
          </cell>
          <cell r="AC75">
            <v>0</v>
          </cell>
          <cell r="AD75">
            <v>0</v>
          </cell>
          <cell r="AE75">
            <v>0</v>
          </cell>
          <cell r="AV75">
            <v>0</v>
          </cell>
          <cell r="AW75">
            <v>0</v>
          </cell>
          <cell r="AX75">
            <v>0</v>
          </cell>
          <cell r="AY75">
            <v>0</v>
          </cell>
          <cell r="AZ75">
            <v>0</v>
          </cell>
          <cell r="BA75">
            <v>0</v>
          </cell>
          <cell r="BR75">
            <v>0</v>
          </cell>
          <cell r="BS75">
            <v>0</v>
          </cell>
          <cell r="BT75">
            <v>0</v>
          </cell>
          <cell r="BU75">
            <v>0</v>
          </cell>
          <cell r="BV75">
            <v>0</v>
          </cell>
          <cell r="BW75">
            <v>0</v>
          </cell>
        </row>
        <row r="76">
          <cell r="A76" t="str">
            <v>OTHER</v>
          </cell>
          <cell r="D76">
            <v>0</v>
          </cell>
          <cell r="E76">
            <v>0</v>
          </cell>
          <cell r="F76">
            <v>0</v>
          </cell>
          <cell r="G76">
            <v>0</v>
          </cell>
          <cell r="H76">
            <v>0</v>
          </cell>
          <cell r="I76">
            <v>0</v>
          </cell>
          <cell r="Z76">
            <v>0</v>
          </cell>
          <cell r="AA76">
            <v>0</v>
          </cell>
          <cell r="AB76">
            <v>0</v>
          </cell>
          <cell r="AC76">
            <v>0</v>
          </cell>
          <cell r="AD76">
            <v>0</v>
          </cell>
          <cell r="AE76">
            <v>0</v>
          </cell>
          <cell r="AV76">
            <v>0</v>
          </cell>
          <cell r="AW76">
            <v>0</v>
          </cell>
          <cell r="AX76">
            <v>0</v>
          </cell>
          <cell r="AY76">
            <v>0</v>
          </cell>
          <cell r="AZ76">
            <v>0</v>
          </cell>
          <cell r="BA76">
            <v>0</v>
          </cell>
          <cell r="BR76">
            <v>0</v>
          </cell>
          <cell r="BS76">
            <v>0</v>
          </cell>
          <cell r="BT76">
            <v>0</v>
          </cell>
          <cell r="BU76">
            <v>0</v>
          </cell>
          <cell r="BV76">
            <v>0</v>
          </cell>
          <cell r="BW76">
            <v>0</v>
          </cell>
        </row>
      </sheetData>
      <sheetData sheetId="11"/>
      <sheetData sheetId="12">
        <row r="12">
          <cell r="A12" t="str">
            <v>HARD</v>
          </cell>
          <cell r="B12" t="str">
            <v>Hard Costs</v>
          </cell>
        </row>
        <row r="13">
          <cell r="A13" t="str">
            <v>HARDC-I - Business Technology Implementation Costs</v>
          </cell>
          <cell r="B13" t="str">
            <v>C-I - Business Technology Implementation Costs</v>
          </cell>
          <cell r="D13">
            <v>0</v>
          </cell>
          <cell r="E13">
            <v>5628866.666666667</v>
          </cell>
          <cell r="F13">
            <v>5628866.666666667</v>
          </cell>
          <cell r="G13">
            <v>5628866.666666667</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AA13">
            <v>0</v>
          </cell>
          <cell r="AB13">
            <v>6754640</v>
          </cell>
          <cell r="AC13">
            <v>6754640</v>
          </cell>
          <cell r="AD13">
            <v>6754640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X13">
            <v>0</v>
          </cell>
          <cell r="AY13">
            <v>6191753.333333334</v>
          </cell>
          <cell r="AZ13">
            <v>6191753.333333334</v>
          </cell>
          <cell r="BA13">
            <v>6191753.333333334</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U13">
            <v>0</v>
          </cell>
          <cell r="BV13">
            <v>5347423.333333333</v>
          </cell>
          <cell r="BW13">
            <v>5347423.333333333</v>
          </cell>
          <cell r="BX13">
            <v>5347423.333333333</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row>
        <row r="14">
          <cell r="A14" t="str">
            <v>HARDC-II - Core Operations Implementation Costs</v>
          </cell>
          <cell r="B14" t="str">
            <v>C-II - Core Operations Implementation Costs</v>
          </cell>
          <cell r="D14">
            <v>0</v>
          </cell>
          <cell r="E14">
            <v>1408328.613285939</v>
          </cell>
          <cell r="F14">
            <v>1408328.613285939</v>
          </cell>
          <cell r="G14">
            <v>1408328.613285939</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AA14">
            <v>0</v>
          </cell>
          <cell r="AB14">
            <v>1689994.3359431268</v>
          </cell>
          <cell r="AC14">
            <v>1689994.3359431268</v>
          </cell>
          <cell r="AD14">
            <v>1689994.3359431268</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X14">
            <v>0</v>
          </cell>
          <cell r="AY14">
            <v>1549161.4746145329</v>
          </cell>
          <cell r="AZ14">
            <v>1549161.4746145329</v>
          </cell>
          <cell r="BA14">
            <v>1549161.4746145329</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U14">
            <v>0</v>
          </cell>
          <cell r="BV14">
            <v>1337912.182621642</v>
          </cell>
          <cell r="BW14">
            <v>1337912.182621642</v>
          </cell>
          <cell r="BX14">
            <v>1337912.182621642</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row>
        <row r="15">
          <cell r="A15" t="str">
            <v>HARDC-III - Actuary Implementation Costs</v>
          </cell>
          <cell r="B15" t="str">
            <v>C-III - Actuary Implementation Costs</v>
          </cell>
          <cell r="D15">
            <v>0</v>
          </cell>
          <cell r="E15">
            <v>385000</v>
          </cell>
          <cell r="F15">
            <v>385000</v>
          </cell>
          <cell r="G15">
            <v>385000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AA15">
            <v>0</v>
          </cell>
          <cell r="AB15">
            <v>462000</v>
          </cell>
          <cell r="AC15">
            <v>462000</v>
          </cell>
          <cell r="AD15">
            <v>462000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X15">
            <v>0</v>
          </cell>
          <cell r="AY15">
            <v>423500.00000000006</v>
          </cell>
          <cell r="AZ15">
            <v>423500.00000000006</v>
          </cell>
          <cell r="BA15">
            <v>423500.00000000006</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U15">
            <v>0</v>
          </cell>
          <cell r="BV15">
            <v>365750</v>
          </cell>
          <cell r="BW15">
            <v>365750</v>
          </cell>
          <cell r="BX15">
            <v>365750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row>
        <row r="16">
          <cell r="A16" t="str">
            <v>HARDC-IV - Other Recurring Costs</v>
          </cell>
          <cell r="B16" t="str">
            <v>C-IV - Other Recurring Costs</v>
          </cell>
          <cell r="D16">
            <v>0</v>
          </cell>
          <cell r="E16">
            <v>0</v>
          </cell>
          <cell r="F16">
            <v>156121.1925</v>
          </cell>
          <cell r="G16">
            <v>360355.59787500004</v>
          </cell>
          <cell r="H16">
            <v>378373.37776875007</v>
          </cell>
          <cell r="I16">
            <v>397292.04665718751</v>
          </cell>
          <cell r="J16">
            <v>417156.64899004693</v>
          </cell>
          <cell r="K16">
            <v>438014.48143954924</v>
          </cell>
          <cell r="L16">
            <v>459915.20551152679</v>
          </cell>
          <cell r="M16">
            <v>482910.96578710305</v>
          </cell>
          <cell r="N16">
            <v>507056.51407645823</v>
          </cell>
          <cell r="O16">
            <v>532409.33978028118</v>
          </cell>
          <cell r="P16">
            <v>559029.80676929525</v>
          </cell>
          <cell r="Q16">
            <v>586981.29710775998</v>
          </cell>
          <cell r="R16">
            <v>616330.361963148</v>
          </cell>
          <cell r="S16">
            <v>647146.88006130524</v>
          </cell>
          <cell r="T16">
            <v>679504.22406437073</v>
          </cell>
          <cell r="U16">
            <v>713479.43526758929</v>
          </cell>
          <cell r="V16">
            <v>749153.40703096881</v>
          </cell>
          <cell r="W16">
            <v>786611.07738251728</v>
          </cell>
          <cell r="X16">
            <v>825941.63125164306</v>
          </cell>
          <cell r="AA16">
            <v>0</v>
          </cell>
          <cell r="AB16">
            <v>0</v>
          </cell>
          <cell r="AC16">
            <v>187345.43100000001</v>
          </cell>
          <cell r="AD16">
            <v>432426.71745000005</v>
          </cell>
          <cell r="AE16">
            <v>454048.05332250008</v>
          </cell>
          <cell r="AF16">
            <v>476750.45598862501</v>
          </cell>
          <cell r="AG16">
            <v>500587.97878805629</v>
          </cell>
          <cell r="AH16">
            <v>525617.37772745907</v>
          </cell>
          <cell r="AI16">
            <v>551898.24661383207</v>
          </cell>
          <cell r="AJ16">
            <v>579493.15894452366</v>
          </cell>
          <cell r="AK16">
            <v>608467.81689174986</v>
          </cell>
          <cell r="AL16">
            <v>638891.20773633744</v>
          </cell>
          <cell r="AM16">
            <v>670835.7681231543</v>
          </cell>
          <cell r="AN16">
            <v>704377.55652931193</v>
          </cell>
          <cell r="AO16">
            <v>739596.43435577757</v>
          </cell>
          <cell r="AP16">
            <v>776576.25607356627</v>
          </cell>
          <cell r="AQ16">
            <v>815405.06887724483</v>
          </cell>
          <cell r="AR16">
            <v>856175.32232110715</v>
          </cell>
          <cell r="AS16">
            <v>898984.08843716257</v>
          </cell>
          <cell r="AT16">
            <v>943933.29285902064</v>
          </cell>
          <cell r="AU16">
            <v>991129.95750197163</v>
          </cell>
          <cell r="AX16">
            <v>0</v>
          </cell>
          <cell r="AY16">
            <v>0</v>
          </cell>
          <cell r="AZ16">
            <v>171733.31175000002</v>
          </cell>
          <cell r="BA16">
            <v>396391.15766250005</v>
          </cell>
          <cell r="BB16">
            <v>416210.71554562513</v>
          </cell>
          <cell r="BC16">
            <v>437021.25132290629</v>
          </cell>
          <cell r="BD16">
            <v>458872.31388905167</v>
          </cell>
          <cell r="BE16">
            <v>481815.92958350421</v>
          </cell>
          <cell r="BF16">
            <v>505906.72606267949</v>
          </cell>
          <cell r="BG16">
            <v>531202.06236581341</v>
          </cell>
          <cell r="BH16">
            <v>557762.16548410407</v>
          </cell>
          <cell r="BI16">
            <v>585650.27375830931</v>
          </cell>
          <cell r="BJ16">
            <v>614932.78744622483</v>
          </cell>
          <cell r="BK16">
            <v>645679.42681853601</v>
          </cell>
          <cell r="BL16">
            <v>677963.39815946284</v>
          </cell>
          <cell r="BM16">
            <v>711861.56806743587</v>
          </cell>
          <cell r="BN16">
            <v>747454.64647080784</v>
          </cell>
          <cell r="BO16">
            <v>784827.37879434833</v>
          </cell>
          <cell r="BP16">
            <v>824068.74773406575</v>
          </cell>
          <cell r="BQ16">
            <v>865272.18512076908</v>
          </cell>
          <cell r="BR16">
            <v>908535.7943768074</v>
          </cell>
          <cell r="BU16">
            <v>0</v>
          </cell>
          <cell r="BV16">
            <v>0</v>
          </cell>
          <cell r="BW16">
            <v>148315.13287500001</v>
          </cell>
          <cell r="BX16">
            <v>342337.81798125</v>
          </cell>
          <cell r="BY16">
            <v>359454.70888031257</v>
          </cell>
          <cell r="BZ16">
            <v>377427.4443243281</v>
          </cell>
          <cell r="CA16">
            <v>396298.81654054456</v>
          </cell>
          <cell r="CB16">
            <v>416113.75736757176</v>
          </cell>
          <cell r="CC16">
            <v>436919.44523595041</v>
          </cell>
          <cell r="CD16">
            <v>458765.41749774787</v>
          </cell>
          <cell r="CE16">
            <v>481703.68837263528</v>
          </cell>
          <cell r="CF16">
            <v>505788.87279126712</v>
          </cell>
          <cell r="CG16">
            <v>531078.31643083051</v>
          </cell>
          <cell r="CH16">
            <v>557632.23225237196</v>
          </cell>
          <cell r="CI16">
            <v>585513.84386499051</v>
          </cell>
          <cell r="CJ16">
            <v>614789.53605823999</v>
          </cell>
          <cell r="CK16">
            <v>645529.01286115218</v>
          </cell>
          <cell r="CL16">
            <v>677805.46350420977</v>
          </cell>
          <cell r="CM16">
            <v>711695.73667942034</v>
          </cell>
          <cell r="CN16">
            <v>747280.52351339138</v>
          </cell>
          <cell r="CO16">
            <v>784644.54968906089</v>
          </cell>
        </row>
        <row r="17">
          <cell r="A17" t="str">
            <v>HARDC-V - All Else Implementation Costs</v>
          </cell>
          <cell r="B17" t="str">
            <v>C-V - All Else Implementation Costs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U17">
            <v>0</v>
          </cell>
          <cell r="BV17">
            <v>0</v>
          </cell>
          <cell r="BW17">
            <v>0</v>
          </cell>
          <cell r="BX17">
            <v>0</v>
          </cell>
          <cell r="BY17">
            <v>0</v>
          </cell>
          <cell r="BZ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0</v>
          </cell>
        </row>
        <row r="18">
          <cell r="A18" t="str">
            <v>HARDV-Rec - Recurring Vendor Fees</v>
          </cell>
          <cell r="B18" t="str">
            <v>V-Rec - Recurring Vendor Fees</v>
          </cell>
          <cell r="D18">
            <v>0</v>
          </cell>
          <cell r="E18">
            <v>3779868.0385044636</v>
          </cell>
          <cell r="F18">
            <v>4841375.2615479911</v>
          </cell>
          <cell r="G18">
            <v>9553969.8102299999</v>
          </cell>
          <cell r="H18">
            <v>9827088.9045368992</v>
          </cell>
          <cell r="I18">
            <v>10108401.571673006</v>
          </cell>
          <cell r="J18">
            <v>10398153.618823199</v>
          </cell>
          <cell r="K18">
            <v>10696598.227387892</v>
          </cell>
          <cell r="L18">
            <v>11003996.17420953</v>
          </cell>
          <cell r="M18">
            <v>11320616.059435816</v>
          </cell>
          <cell r="N18">
            <v>11646734.54121889</v>
          </cell>
          <cell r="O18">
            <v>11982636.577455455</v>
          </cell>
          <cell r="P18">
            <v>12328615.674779121</v>
          </cell>
          <cell r="Q18">
            <v>12684974.145022493</v>
          </cell>
          <cell r="R18">
            <v>13052023.369373169</v>
          </cell>
          <cell r="S18">
            <v>13430084.070454365</v>
          </cell>
          <cell r="T18">
            <v>13819486.592567997</v>
          </cell>
          <cell r="U18">
            <v>14220571.190345036</v>
          </cell>
          <cell r="V18">
            <v>14633688.326055385</v>
          </cell>
          <cell r="W18">
            <v>15059198.975837046</v>
          </cell>
          <cell r="X18">
            <v>15497474.945112159</v>
          </cell>
          <cell r="AA18">
            <v>0</v>
          </cell>
          <cell r="AB18">
            <v>4535841.6462053563</v>
          </cell>
          <cell r="AC18">
            <v>5809650.3138575889</v>
          </cell>
          <cell r="AD18">
            <v>11464763.772275999</v>
          </cell>
          <cell r="AE18">
            <v>11792506.685444279</v>
          </cell>
          <cell r="AF18">
            <v>12130081.886007607</v>
          </cell>
          <cell r="AG18">
            <v>12477784.342587838</v>
          </cell>
          <cell r="AH18">
            <v>12835917.87286547</v>
          </cell>
          <cell r="AI18">
            <v>13204795.409051435</v>
          </cell>
          <cell r="AJ18">
            <v>13584739.271322979</v>
          </cell>
          <cell r="AK18">
            <v>13976081.449462667</v>
          </cell>
          <cell r="AL18">
            <v>14379163.892946547</v>
          </cell>
          <cell r="AM18">
            <v>14794338.809734944</v>
          </cell>
          <cell r="AN18">
            <v>15221968.974026991</v>
          </cell>
          <cell r="AO18">
            <v>15662428.043247802</v>
          </cell>
          <cell r="AP18">
            <v>16116100.884545237</v>
          </cell>
          <cell r="AQ18">
            <v>16583383.911081595</v>
          </cell>
          <cell r="AR18">
            <v>17064685.428414043</v>
          </cell>
          <cell r="AS18">
            <v>17560425.991266463</v>
          </cell>
          <cell r="AT18">
            <v>18071038.771004453</v>
          </cell>
          <cell r="AU18">
            <v>18596969.934134591</v>
          </cell>
          <cell r="AX18">
            <v>0</v>
          </cell>
          <cell r="AY18">
            <v>4157854.8423549104</v>
          </cell>
          <cell r="AZ18">
            <v>5325512.7877027905</v>
          </cell>
          <cell r="BA18">
            <v>10509366.791253</v>
          </cell>
          <cell r="BB18">
            <v>10809797.79499059</v>
          </cell>
          <cell r="BC18">
            <v>11119241.728840306</v>
          </cell>
          <cell r="BD18">
            <v>11437968.98070552</v>
          </cell>
          <cell r="BE18">
            <v>11766258.050126683</v>
          </cell>
          <cell r="BF18">
            <v>12104395.791630484</v>
          </cell>
          <cell r="BG18">
            <v>12452677.665379399</v>
          </cell>
          <cell r="BH18">
            <v>12811407.995340779</v>
          </cell>
          <cell r="BI18">
            <v>13180900.235201001</v>
          </cell>
          <cell r="BJ18">
            <v>13561477.242257034</v>
          </cell>
          <cell r="BK18">
            <v>13953471.559524743</v>
          </cell>
          <cell r="BL18">
            <v>14357225.706310486</v>
          </cell>
          <cell r="BM18">
            <v>14773092.477499802</v>
          </cell>
          <cell r="BN18">
            <v>15201435.251824798</v>
          </cell>
          <cell r="BO18">
            <v>15642628.30937954</v>
          </cell>
          <cell r="BP18">
            <v>16097057.158660924</v>
          </cell>
          <cell r="BQ18">
            <v>16565118.873420753</v>
          </cell>
          <cell r="BR18">
            <v>17047222.439623378</v>
          </cell>
          <cell r="BU18">
            <v>0</v>
          </cell>
          <cell r="BV18">
            <v>3590874.6365792402</v>
          </cell>
          <cell r="BW18">
            <v>4599306.4984705914</v>
          </cell>
          <cell r="BX18">
            <v>9076271.3197184987</v>
          </cell>
          <cell r="BY18">
            <v>9335734.4593100529</v>
          </cell>
          <cell r="BZ18">
            <v>9602981.4930893555</v>
          </cell>
          <cell r="CA18">
            <v>9878245.9378820378</v>
          </cell>
          <cell r="CB18">
            <v>10161768.316018498</v>
          </cell>
          <cell r="CC18">
            <v>10453796.365499053</v>
          </cell>
          <cell r="CD18">
            <v>10754585.256464025</v>
          </cell>
          <cell r="CE18">
            <v>11064397.814157944</v>
          </cell>
          <cell r="CF18">
            <v>11383504.748582682</v>
          </cell>
          <cell r="CG18">
            <v>11712184.891040165</v>
          </cell>
          <cell r="CH18">
            <v>12050725.437771367</v>
          </cell>
          <cell r="CI18">
            <v>12399422.200904509</v>
          </cell>
          <cell r="CJ18">
            <v>12758579.866931645</v>
          </cell>
          <cell r="CK18">
            <v>13128512.262939597</v>
          </cell>
          <cell r="CL18">
            <v>13509542.630827783</v>
          </cell>
          <cell r="CM18">
            <v>13902003.909752615</v>
          </cell>
          <cell r="CN18">
            <v>14306239.027045194</v>
          </cell>
          <cell r="CO18">
            <v>14722601.197856551</v>
          </cell>
        </row>
        <row r="19">
          <cell r="A19" t="str">
            <v>HARDV-Imp - Vendor Implementation Fees</v>
          </cell>
          <cell r="B19" t="str">
            <v>V-Imp - Vendor Implementation Fees</v>
          </cell>
          <cell r="D19">
            <v>0</v>
          </cell>
          <cell r="E19">
            <v>7300000</v>
          </cell>
          <cell r="F19">
            <v>5250000</v>
          </cell>
          <cell r="G19">
            <v>5250000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AA19">
            <v>0</v>
          </cell>
          <cell r="AB19">
            <v>8760000</v>
          </cell>
          <cell r="AC19">
            <v>6300000</v>
          </cell>
          <cell r="AD19">
            <v>6300000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X19">
            <v>0</v>
          </cell>
          <cell r="AY19">
            <v>8030000.0000000009</v>
          </cell>
          <cell r="AZ19">
            <v>5775000.0000000009</v>
          </cell>
          <cell r="BA19">
            <v>5775000.0000000009</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U19">
            <v>0</v>
          </cell>
          <cell r="BV19">
            <v>6935000</v>
          </cell>
          <cell r="BW19">
            <v>4987500</v>
          </cell>
          <cell r="BX19">
            <v>4987500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row>
        <row r="20">
          <cell r="A20" t="str">
            <v>HARDV-Gap.Rec - Gap Closure Recurring Fees</v>
          </cell>
          <cell r="B20" t="str">
            <v>V-Gap.Rec - Gap Closure Recurring Fees</v>
          </cell>
          <cell r="D20">
            <v>0</v>
          </cell>
          <cell r="E20">
            <v>315000</v>
          </cell>
          <cell r="F20">
            <v>324450</v>
          </cell>
          <cell r="G20">
            <v>334183.5</v>
          </cell>
          <cell r="H20">
            <v>344209.005</v>
          </cell>
          <cell r="I20">
            <v>354535.27515</v>
          </cell>
          <cell r="J20">
            <v>365171.33340449998</v>
          </cell>
          <cell r="K20">
            <v>376126.47340663499</v>
          </cell>
          <cell r="L20">
            <v>387410.26760883402</v>
          </cell>
          <cell r="M20">
            <v>399032.57563709904</v>
          </cell>
          <cell r="N20">
            <v>411003.55290621199</v>
          </cell>
          <cell r="O20">
            <v>423333.65949339839</v>
          </cell>
          <cell r="P20">
            <v>436033.66927820031</v>
          </cell>
          <cell r="Q20">
            <v>449114.67935654626</v>
          </cell>
          <cell r="R20">
            <v>462588.11973724264</v>
          </cell>
          <cell r="S20">
            <v>476465.76332935999</v>
          </cell>
          <cell r="T20">
            <v>490759.73622924078</v>
          </cell>
          <cell r="U20">
            <v>505482.52831611794</v>
          </cell>
          <cell r="V20">
            <v>520647.00416560145</v>
          </cell>
          <cell r="W20">
            <v>536266.41429056949</v>
          </cell>
          <cell r="X20">
            <v>552354.40671928658</v>
          </cell>
          <cell r="AA20">
            <v>0</v>
          </cell>
          <cell r="AB20">
            <v>378000</v>
          </cell>
          <cell r="AC20">
            <v>389340</v>
          </cell>
          <cell r="AD20">
            <v>401020.2</v>
          </cell>
          <cell r="AE20">
            <v>413050.80599999998</v>
          </cell>
          <cell r="AF20">
            <v>425442.33017999999</v>
          </cell>
          <cell r="AG20">
            <v>438205.60008539999</v>
          </cell>
          <cell r="AH20">
            <v>451351.768087962</v>
          </cell>
          <cell r="AI20">
            <v>464892.32113060082</v>
          </cell>
          <cell r="AJ20">
            <v>478839.09076451883</v>
          </cell>
          <cell r="AK20">
            <v>493204.26348745439</v>
          </cell>
          <cell r="AL20">
            <v>508000.39139207802</v>
          </cell>
          <cell r="AM20">
            <v>523240.40313384036</v>
          </cell>
          <cell r="AN20">
            <v>538937.61522785551</v>
          </cell>
          <cell r="AO20">
            <v>555105.74368469114</v>
          </cell>
          <cell r="AP20">
            <v>571758.91599523195</v>
          </cell>
          <cell r="AQ20">
            <v>588911.68347508891</v>
          </cell>
          <cell r="AR20">
            <v>606579.0339793415</v>
          </cell>
          <cell r="AS20">
            <v>624776.40499872167</v>
          </cell>
          <cell r="AT20">
            <v>643519.69714868336</v>
          </cell>
          <cell r="AU20">
            <v>662825.28806314385</v>
          </cell>
          <cell r="AX20">
            <v>0</v>
          </cell>
          <cell r="AY20">
            <v>346500</v>
          </cell>
          <cell r="AZ20">
            <v>356895</v>
          </cell>
          <cell r="BA20">
            <v>367601.85000000003</v>
          </cell>
          <cell r="BB20">
            <v>378629.90550000005</v>
          </cell>
          <cell r="BC20">
            <v>389988.80266500002</v>
          </cell>
          <cell r="BD20">
            <v>401688.46674494998</v>
          </cell>
          <cell r="BE20">
            <v>413739.12074729853</v>
          </cell>
          <cell r="BF20">
            <v>426151.29436971748</v>
          </cell>
          <cell r="BG20">
            <v>438935.83320080896</v>
          </cell>
          <cell r="BH20">
            <v>452103.90819683322</v>
          </cell>
          <cell r="BI20">
            <v>465667.02544273826</v>
          </cell>
          <cell r="BJ20">
            <v>479637.03620602039</v>
          </cell>
          <cell r="BK20">
            <v>494026.14729220094</v>
          </cell>
          <cell r="BL20">
            <v>508846.93171096692</v>
          </cell>
          <cell r="BM20">
            <v>524112.33966229606</v>
          </cell>
          <cell r="BN20">
            <v>539835.70985216484</v>
          </cell>
          <cell r="BO20">
            <v>556030.78114772972</v>
          </cell>
          <cell r="BP20">
            <v>572711.70458216162</v>
          </cell>
          <cell r="BQ20">
            <v>589893.05571962649</v>
          </cell>
          <cell r="BR20">
            <v>607589.84739121527</v>
          </cell>
          <cell r="BU20">
            <v>0</v>
          </cell>
          <cell r="BV20">
            <v>299250</v>
          </cell>
          <cell r="BW20">
            <v>308227.5</v>
          </cell>
          <cell r="BX20">
            <v>317474.32500000001</v>
          </cell>
          <cell r="BY20">
            <v>326998.55475000001</v>
          </cell>
          <cell r="BZ20">
            <v>336808.51139249996</v>
          </cell>
          <cell r="CA20">
            <v>346912.76673427498</v>
          </cell>
          <cell r="CB20">
            <v>357320.14973630325</v>
          </cell>
          <cell r="CC20">
            <v>368039.75422839232</v>
          </cell>
          <cell r="CD20">
            <v>379080.94685524405</v>
          </cell>
          <cell r="CE20">
            <v>390453.37526090135</v>
          </cell>
          <cell r="CF20">
            <v>402166.97651872842</v>
          </cell>
          <cell r="CG20">
            <v>414231.9858142903</v>
          </cell>
          <cell r="CH20">
            <v>426658.94538871892</v>
          </cell>
          <cell r="CI20">
            <v>439458.7137503805</v>
          </cell>
          <cell r="CJ20">
            <v>452642.47516289196</v>
          </cell>
          <cell r="CK20">
            <v>466221.74941777874</v>
          </cell>
          <cell r="CL20">
            <v>480208.40190031205</v>
          </cell>
          <cell r="CM20">
            <v>494614.65395732137</v>
          </cell>
          <cell r="CN20">
            <v>509453.09357604099</v>
          </cell>
          <cell r="CO20">
            <v>524736.68638332223</v>
          </cell>
        </row>
        <row r="21">
          <cell r="A21" t="str">
            <v>HARDV-Gap.Imp - Gap Closure Implementation Fees</v>
          </cell>
          <cell r="B21" t="str">
            <v>V-Gap.Imp - Gap Closure Implementation Fees</v>
          </cell>
          <cell r="D21">
            <v>0</v>
          </cell>
          <cell r="E21">
            <v>399859.55056179775</v>
          </cell>
          <cell r="F21">
            <v>287570.2247191011</v>
          </cell>
          <cell r="G21">
            <v>287570.2247191011</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AA21">
            <v>0</v>
          </cell>
          <cell r="AB21">
            <v>479831.46067415725</v>
          </cell>
          <cell r="AC21">
            <v>345084.26966292132</v>
          </cell>
          <cell r="AD21">
            <v>345084.26966292132</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X21">
            <v>0</v>
          </cell>
          <cell r="AY21">
            <v>439845.50561797759</v>
          </cell>
          <cell r="AZ21">
            <v>316327.24719101121</v>
          </cell>
          <cell r="BA21">
            <v>316327.24719101121</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U21">
            <v>0</v>
          </cell>
          <cell r="BV21">
            <v>379866.57303370786</v>
          </cell>
          <cell r="BW21">
            <v>273191.71348314604</v>
          </cell>
          <cell r="BX21">
            <v>273191.71348314604</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row>
        <row r="22">
          <cell r="A22" t="str">
            <v>HARDOther Implementation Costs</v>
          </cell>
          <cell r="B22" t="str">
            <v>Other Implementation Costs</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row>
        <row r="23">
          <cell r="A23" t="str">
            <v>HARDOther Employee-Related Cost</v>
          </cell>
          <cell r="B23" t="str">
            <v>Other Employee-Related Cost</v>
          </cell>
          <cell r="D23">
            <v>0</v>
          </cell>
          <cell r="E23">
            <v>1120121.2658432554</v>
          </cell>
          <cell r="F23">
            <v>1120121.2658432554</v>
          </cell>
          <cell r="G23">
            <v>1120121.2658432554</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AA23">
            <v>0</v>
          </cell>
          <cell r="AB23">
            <v>1344145.5190119066</v>
          </cell>
          <cell r="AC23">
            <v>1344145.5190119066</v>
          </cell>
          <cell r="AD23">
            <v>1344145.5190119066</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X23">
            <v>0</v>
          </cell>
          <cell r="AY23">
            <v>1232133.3924275811</v>
          </cell>
          <cell r="AZ23">
            <v>1232133.3924275811</v>
          </cell>
          <cell r="BA23">
            <v>1232133.3924275811</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U23">
            <v>0</v>
          </cell>
          <cell r="BV23">
            <v>1064115.2025510927</v>
          </cell>
          <cell r="BW23">
            <v>1064115.2025510927</v>
          </cell>
          <cell r="BX23">
            <v>1064115.2025510927</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row>
        <row r="24">
          <cell r="A24" t="str">
            <v>HARDOverhead and Contingency</v>
          </cell>
          <cell r="B24" t="str">
            <v>Overhead and Contingency</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row>
        <row r="25">
          <cell r="A25" t="str">
            <v>HARDProject Management (EPMO) Time</v>
          </cell>
          <cell r="B25" t="str">
            <v>Project Management (EPMO) Time</v>
          </cell>
          <cell r="D25">
            <v>0</v>
          </cell>
          <cell r="E25">
            <v>1113329.2919928909</v>
          </cell>
          <cell r="F25">
            <v>1113329.2919928909</v>
          </cell>
          <cell r="G25">
            <v>1113329.2919928909</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AA25">
            <v>0</v>
          </cell>
          <cell r="AB25">
            <v>1335995.150391469</v>
          </cell>
          <cell r="AC25">
            <v>1335995.150391469</v>
          </cell>
          <cell r="AD25">
            <v>1335995.150391469</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X25">
            <v>0</v>
          </cell>
          <cell r="AY25">
            <v>1224662.2211921802</v>
          </cell>
          <cell r="AZ25">
            <v>1224662.2211921802</v>
          </cell>
          <cell r="BA25">
            <v>1224662.2211921802</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U25">
            <v>0</v>
          </cell>
          <cell r="BV25">
            <v>1057662.8273932463</v>
          </cell>
          <cell r="BW25">
            <v>1057662.8273932463</v>
          </cell>
          <cell r="BX25">
            <v>1057662.8273932463</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row>
        <row r="26">
          <cell r="A26" t="str">
            <v>HARDLeadership Overhead Time</v>
          </cell>
          <cell r="B26" t="str">
            <v>Leadership Overhead Time</v>
          </cell>
          <cell r="D26">
            <v>0</v>
          </cell>
          <cell r="E26">
            <v>371109.76399763033</v>
          </cell>
          <cell r="F26">
            <v>371109.76399763033</v>
          </cell>
          <cell r="G26">
            <v>371109.76399763033</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AA26">
            <v>0</v>
          </cell>
          <cell r="AB26">
            <v>445331.71679715638</v>
          </cell>
          <cell r="AC26">
            <v>445331.71679715638</v>
          </cell>
          <cell r="AD26">
            <v>445331.71679715638</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X26">
            <v>0</v>
          </cell>
          <cell r="AY26">
            <v>408220.74039739341</v>
          </cell>
          <cell r="AZ26">
            <v>408220.74039739341</v>
          </cell>
          <cell r="BA26">
            <v>408220.74039739341</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U26">
            <v>0</v>
          </cell>
          <cell r="BV26">
            <v>352554.27579774882</v>
          </cell>
          <cell r="BW26">
            <v>352554.27579774882</v>
          </cell>
          <cell r="BX26">
            <v>352554.27579774882</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row>
        <row r="27">
          <cell r="A27" t="str">
            <v>HARD0</v>
          </cell>
          <cell r="B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row>
        <row r="28">
          <cell r="A28" t="str">
            <v>HARD0</v>
          </cell>
          <cell r="B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row>
        <row r="29">
          <cell r="A29" t="str">
            <v>HARD0</v>
          </cell>
          <cell r="B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row>
        <row r="30">
          <cell r="A30" t="str">
            <v>HARDContingency for Implementation</v>
          </cell>
          <cell r="B30" t="str">
            <v>Contingency for Implementation</v>
          </cell>
          <cell r="D30">
            <v>0</v>
          </cell>
          <cell r="E30">
            <v>7090646.0609392738</v>
          </cell>
          <cell r="F30">
            <v>6225730.3306021951</v>
          </cell>
          <cell r="G30">
            <v>6225730.3306021951</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AA30">
            <v>0</v>
          </cell>
          <cell r="AB30">
            <v>8508775.2731271274</v>
          </cell>
          <cell r="AC30">
            <v>7470876.3967226343</v>
          </cell>
          <cell r="AD30">
            <v>7470876.3967226343</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X30">
            <v>0</v>
          </cell>
          <cell r="AY30">
            <v>7799710.667033202</v>
          </cell>
          <cell r="AZ30">
            <v>6848303.3636624152</v>
          </cell>
          <cell r="BA30">
            <v>6848303.3636624152</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U30">
            <v>0</v>
          </cell>
          <cell r="BV30">
            <v>6736113.7578923097</v>
          </cell>
          <cell r="BW30">
            <v>5914443.8140720855</v>
          </cell>
          <cell r="BX30">
            <v>5914443.8140720855</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row>
        <row r="31">
          <cell r="A31" t="str">
            <v>HARD0</v>
          </cell>
          <cell r="B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row>
        <row r="32">
          <cell r="A32" t="str">
            <v>HARD0</v>
          </cell>
          <cell r="B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row>
        <row r="33">
          <cell r="A33" t="str">
            <v>HARD0</v>
          </cell>
          <cell r="B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cell r="CM33">
            <v>0</v>
          </cell>
          <cell r="CN33">
            <v>0</v>
          </cell>
          <cell r="CO33">
            <v>0</v>
          </cell>
        </row>
        <row r="34">
          <cell r="A34" t="str">
            <v>HARD0</v>
          </cell>
          <cell r="B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row>
        <row r="35">
          <cell r="A35" t="str">
            <v>HARD0</v>
          </cell>
          <cell r="B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row>
        <row r="36">
          <cell r="A36" t="str">
            <v>HARD0</v>
          </cell>
          <cell r="B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row>
        <row r="37">
          <cell r="A37" t="str">
            <v>HARD0</v>
          </cell>
          <cell r="B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row>
        <row r="38">
          <cell r="A38" t="str">
            <v>HARD0</v>
          </cell>
          <cell r="B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row>
        <row r="39">
          <cell r="A39" t="str">
            <v>HARD0</v>
          </cell>
          <cell r="B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row>
        <row r="40">
          <cell r="A40" t="str">
            <v>HARD0</v>
          </cell>
          <cell r="B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row>
        <row r="41">
          <cell r="A41" t="str">
            <v>HARD0</v>
          </cell>
          <cell r="B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row>
        <row r="42">
          <cell r="A42" t="str">
            <v>HARD0</v>
          </cell>
          <cell r="B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row>
        <row r="43">
          <cell r="A43" t="str">
            <v>HARDTOT</v>
          </cell>
          <cell r="B43" t="str">
            <v>Total Hard Costs</v>
          </cell>
          <cell r="D43">
            <v>0</v>
          </cell>
          <cell r="E43">
            <v>28912129.251791921</v>
          </cell>
          <cell r="F43">
            <v>27112002.611155666</v>
          </cell>
          <cell r="G43">
            <v>32038565.065212674</v>
          </cell>
          <cell r="H43">
            <v>10549671.287305649</v>
          </cell>
          <cell r="I43">
            <v>10860228.893480193</v>
          </cell>
          <cell r="J43">
            <v>11180481.601217745</v>
          </cell>
          <cell r="K43">
            <v>11510739.182234077</v>
          </cell>
          <cell r="L43">
            <v>11851321.647329891</v>
          </cell>
          <cell r="M43">
            <v>12202559.600860018</v>
          </cell>
          <cell r="N43">
            <v>12564794.60820156</v>
          </cell>
          <cell r="O43">
            <v>12938379.576729134</v>
          </cell>
          <cell r="P43">
            <v>13323679.150826616</v>
          </cell>
          <cell r="Q43">
            <v>13721070.1214868</v>
          </cell>
          <cell r="R43">
            <v>14130941.851073559</v>
          </cell>
          <cell r="S43">
            <v>14553696.713845031</v>
          </cell>
          <cell r="T43">
            <v>14989750.552861609</v>
          </cell>
          <cell r="U43">
            <v>15439533.153928744</v>
          </cell>
          <cell r="V43">
            <v>15903488.737251954</v>
          </cell>
          <cell r="W43">
            <v>16382076.467510134</v>
          </cell>
          <cell r="X43">
            <v>16875770.983083088</v>
          </cell>
          <cell r="AA43">
            <v>0</v>
          </cell>
          <cell r="AB43">
            <v>34694555.102150306</v>
          </cell>
          <cell r="AC43">
            <v>32534403.133386806</v>
          </cell>
          <cell r="AD43">
            <v>38446278.078255214</v>
          </cell>
          <cell r="AE43">
            <v>12659605.544766778</v>
          </cell>
          <cell r="AF43">
            <v>13032274.672176233</v>
          </cell>
          <cell r="AG43">
            <v>13416577.921461293</v>
          </cell>
          <cell r="AH43">
            <v>13812887.018680891</v>
          </cell>
          <cell r="AI43">
            <v>14221585.976795869</v>
          </cell>
          <cell r="AJ43">
            <v>14643071.52103202</v>
          </cell>
          <cell r="AK43">
            <v>15077753.529841872</v>
          </cell>
          <cell r="AL43">
            <v>15526055.492074963</v>
          </cell>
          <cell r="AM43">
            <v>15988414.980991939</v>
          </cell>
          <cell r="AN43">
            <v>16465284.145784158</v>
          </cell>
          <cell r="AO43">
            <v>16957130.221288271</v>
          </cell>
          <cell r="AP43">
            <v>17464436.056614038</v>
          </cell>
          <cell r="AQ43">
            <v>17987700.663433928</v>
          </cell>
          <cell r="AR43">
            <v>18527439.78471449</v>
          </cell>
          <cell r="AS43">
            <v>19084186.484702349</v>
          </cell>
          <cell r="AT43">
            <v>19658491.761012159</v>
          </cell>
          <cell r="AU43">
            <v>20250925.179699704</v>
          </cell>
          <cell r="AX43">
            <v>0</v>
          </cell>
          <cell r="AY43">
            <v>31803342.176971115</v>
          </cell>
          <cell r="AZ43">
            <v>29823202.87227124</v>
          </cell>
          <cell r="BA43">
            <v>35242421.571733952</v>
          </cell>
          <cell r="BB43">
            <v>11604638.416036215</v>
          </cell>
          <cell r="BC43">
            <v>11946251.782828214</v>
          </cell>
          <cell r="BD43">
            <v>12298529.761339521</v>
          </cell>
          <cell r="BE43">
            <v>12661813.100457486</v>
          </cell>
          <cell r="BF43">
            <v>13036453.812062882</v>
          </cell>
          <cell r="BG43">
            <v>13422815.560946021</v>
          </cell>
          <cell r="BH43">
            <v>13821274.069021717</v>
          </cell>
          <cell r="BI43">
            <v>14232217.534402048</v>
          </cell>
          <cell r="BJ43">
            <v>14656047.06590928</v>
          </cell>
          <cell r="BK43">
            <v>15093177.13363548</v>
          </cell>
          <cell r="BL43">
            <v>15544036.036180917</v>
          </cell>
          <cell r="BM43">
            <v>16009066.385229534</v>
          </cell>
          <cell r="BN43">
            <v>16488725.60814777</v>
          </cell>
          <cell r="BO43">
            <v>16983486.46932162</v>
          </cell>
          <cell r="BP43">
            <v>17493837.61097715</v>
          </cell>
          <cell r="BQ43">
            <v>18020284.114261147</v>
          </cell>
          <cell r="BR43">
            <v>18563348.081391402</v>
          </cell>
          <cell r="BU43">
            <v>0</v>
          </cell>
          <cell r="BV43">
            <v>27466522.789202321</v>
          </cell>
          <cell r="BW43">
            <v>25756402.480597883</v>
          </cell>
          <cell r="BX43">
            <v>30436636.81195204</v>
          </cell>
          <cell r="BY43">
            <v>10022187.722940365</v>
          </cell>
          <cell r="BZ43">
            <v>10317217.448806183</v>
          </cell>
          <cell r="CA43">
            <v>10621457.521156857</v>
          </cell>
          <cell r="CB43">
            <v>10935202.223122373</v>
          </cell>
          <cell r="CC43">
            <v>11258755.564963397</v>
          </cell>
          <cell r="CD43">
            <v>11592431.620817017</v>
          </cell>
          <cell r="CE43">
            <v>11936554.877791479</v>
          </cell>
          <cell r="CF43">
            <v>12291460.597892677</v>
          </cell>
          <cell r="CG43">
            <v>12657495.193285286</v>
          </cell>
          <cell r="CH43">
            <v>13035016.615412459</v>
          </cell>
          <cell r="CI43">
            <v>13424394.75851988</v>
          </cell>
          <cell r="CJ43">
            <v>13826011.878152777</v>
          </cell>
          <cell r="CK43">
            <v>14240263.025218528</v>
          </cell>
          <cell r="CL43">
            <v>14667556.496232305</v>
          </cell>
          <cell r="CM43">
            <v>15108314.300389357</v>
          </cell>
          <cell r="CN43">
            <v>15562972.644134626</v>
          </cell>
          <cell r="CO43">
            <v>16031982.433928933</v>
          </cell>
        </row>
        <row r="44">
          <cell r="A44" t="str">
            <v>SOFT</v>
          </cell>
          <cell r="B44" t="str">
            <v>Soft Costs</v>
          </cell>
        </row>
        <row r="45">
          <cell r="A45" t="str">
            <v>SOFT0</v>
          </cell>
          <cell r="B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row>
        <row r="46">
          <cell r="A46" t="str">
            <v>SOFT0</v>
          </cell>
          <cell r="B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row>
        <row r="47">
          <cell r="A47" t="str">
            <v>SOFT0</v>
          </cell>
          <cell r="B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row>
        <row r="48">
          <cell r="A48" t="str">
            <v>SOFT0</v>
          </cell>
          <cell r="B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row>
        <row r="49">
          <cell r="A49" t="str">
            <v>SOFT0</v>
          </cell>
          <cell r="B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row>
        <row r="50">
          <cell r="A50" t="str">
            <v>SOFT0</v>
          </cell>
          <cell r="B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Q50">
            <v>0</v>
          </cell>
          <cell r="BR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row>
        <row r="51">
          <cell r="A51" t="str">
            <v>SOFT0</v>
          </cell>
          <cell r="B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cell r="CM51">
            <v>0</v>
          </cell>
          <cell r="CN51">
            <v>0</v>
          </cell>
          <cell r="CO51">
            <v>0</v>
          </cell>
        </row>
        <row r="52">
          <cell r="A52" t="str">
            <v>SOFT0</v>
          </cell>
          <cell r="B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cell r="CM52">
            <v>0</v>
          </cell>
          <cell r="CN52">
            <v>0</v>
          </cell>
          <cell r="CO52">
            <v>0</v>
          </cell>
        </row>
        <row r="53">
          <cell r="A53" t="str">
            <v>SOFT0</v>
          </cell>
          <cell r="B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cell r="CM53">
            <v>0</v>
          </cell>
          <cell r="CN53">
            <v>0</v>
          </cell>
          <cell r="CO53">
            <v>0</v>
          </cell>
        </row>
        <row r="54">
          <cell r="A54" t="str">
            <v>SOFT0</v>
          </cell>
          <cell r="B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row>
        <row r="55">
          <cell r="A55" t="str">
            <v>SOFT0</v>
          </cell>
          <cell r="B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U55">
            <v>0</v>
          </cell>
          <cell r="BV55">
            <v>0</v>
          </cell>
          <cell r="BW55">
            <v>0</v>
          </cell>
          <cell r="BX55">
            <v>0</v>
          </cell>
          <cell r="BY55">
            <v>0</v>
          </cell>
          <cell r="BZ55">
            <v>0</v>
          </cell>
          <cell r="CA55">
            <v>0</v>
          </cell>
          <cell r="CB55">
            <v>0</v>
          </cell>
          <cell r="CC55">
            <v>0</v>
          </cell>
          <cell r="CD55">
            <v>0</v>
          </cell>
          <cell r="CE55">
            <v>0</v>
          </cell>
          <cell r="CF55">
            <v>0</v>
          </cell>
          <cell r="CG55">
            <v>0</v>
          </cell>
          <cell r="CH55">
            <v>0</v>
          </cell>
          <cell r="CI55">
            <v>0</v>
          </cell>
          <cell r="CJ55">
            <v>0</v>
          </cell>
          <cell r="CK55">
            <v>0</v>
          </cell>
          <cell r="CL55">
            <v>0</v>
          </cell>
          <cell r="CM55">
            <v>0</v>
          </cell>
          <cell r="CN55">
            <v>0</v>
          </cell>
          <cell r="CO55">
            <v>0</v>
          </cell>
        </row>
        <row r="56">
          <cell r="A56" t="str">
            <v>SOFT0</v>
          </cell>
          <cell r="B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N56">
            <v>0</v>
          </cell>
          <cell r="CO56">
            <v>0</v>
          </cell>
        </row>
        <row r="57">
          <cell r="A57" t="str">
            <v>SOFT0</v>
          </cell>
          <cell r="B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row>
        <row r="58">
          <cell r="A58" t="str">
            <v>SOFT0</v>
          </cell>
          <cell r="B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row>
        <row r="59">
          <cell r="A59" t="str">
            <v>SOFT0</v>
          </cell>
          <cell r="B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row>
        <row r="60">
          <cell r="A60" t="str">
            <v>SOFT0</v>
          </cell>
          <cell r="B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row>
        <row r="61">
          <cell r="A61" t="str">
            <v>SOFT0</v>
          </cell>
          <cell r="B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row>
        <row r="62">
          <cell r="A62" t="str">
            <v>SOFT0</v>
          </cell>
          <cell r="B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row>
        <row r="63">
          <cell r="A63" t="str">
            <v>SOFT0</v>
          </cell>
          <cell r="B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row>
        <row r="64">
          <cell r="A64" t="str">
            <v>SOFTTOT</v>
          </cell>
          <cell r="B64" t="str">
            <v>Total Soft Costs</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U64">
            <v>0</v>
          </cell>
          <cell r="BV64">
            <v>0</v>
          </cell>
          <cell r="BW64">
            <v>0</v>
          </cell>
          <cell r="BX64">
            <v>0</v>
          </cell>
          <cell r="BY64">
            <v>0</v>
          </cell>
          <cell r="BZ64">
            <v>0</v>
          </cell>
          <cell r="CA64">
            <v>0</v>
          </cell>
          <cell r="CB64">
            <v>0</v>
          </cell>
          <cell r="CC64">
            <v>0</v>
          </cell>
          <cell r="CD64">
            <v>0</v>
          </cell>
          <cell r="CE64">
            <v>0</v>
          </cell>
          <cell r="CF64">
            <v>0</v>
          </cell>
          <cell r="CG64">
            <v>0</v>
          </cell>
          <cell r="CH64">
            <v>0</v>
          </cell>
          <cell r="CI64">
            <v>0</v>
          </cell>
          <cell r="CJ64">
            <v>0</v>
          </cell>
          <cell r="CK64">
            <v>0</v>
          </cell>
          <cell r="CL64">
            <v>0</v>
          </cell>
          <cell r="CM64">
            <v>0</v>
          </cell>
          <cell r="CN64">
            <v>0</v>
          </cell>
          <cell r="CO64">
            <v>0</v>
          </cell>
        </row>
        <row r="67">
          <cell r="A67" t="str">
            <v>COSTTOT</v>
          </cell>
          <cell r="B67" t="str">
            <v>Total Cost</v>
          </cell>
          <cell r="D67">
            <v>0</v>
          </cell>
          <cell r="E67">
            <v>28912129.251791921</v>
          </cell>
          <cell r="F67">
            <v>27112002.611155666</v>
          </cell>
          <cell r="G67">
            <v>32038565.065212674</v>
          </cell>
          <cell r="H67">
            <v>10549671.287305649</v>
          </cell>
          <cell r="I67">
            <v>10860228.893480193</v>
          </cell>
          <cell r="J67">
            <v>11180481.601217745</v>
          </cell>
          <cell r="K67">
            <v>11510739.182234077</v>
          </cell>
          <cell r="L67">
            <v>11851321.647329891</v>
          </cell>
          <cell r="M67">
            <v>12202559.600860018</v>
          </cell>
          <cell r="N67">
            <v>12564794.60820156</v>
          </cell>
          <cell r="O67">
            <v>12938379.576729134</v>
          </cell>
          <cell r="P67">
            <v>13323679.150826616</v>
          </cell>
          <cell r="Q67">
            <v>13721070.1214868</v>
          </cell>
          <cell r="R67">
            <v>14130941.851073559</v>
          </cell>
          <cell r="S67">
            <v>14553696.713845031</v>
          </cell>
          <cell r="T67">
            <v>14989750.552861609</v>
          </cell>
          <cell r="U67">
            <v>15439533.153928744</v>
          </cell>
          <cell r="V67">
            <v>15903488.737251954</v>
          </cell>
          <cell r="W67">
            <v>16382076.467510134</v>
          </cell>
          <cell r="X67">
            <v>16875770.983083088</v>
          </cell>
          <cell r="AA67">
            <v>0</v>
          </cell>
          <cell r="AB67">
            <v>34694555.102150306</v>
          </cell>
          <cell r="AC67">
            <v>32534403.133386806</v>
          </cell>
          <cell r="AD67">
            <v>38446278.078255214</v>
          </cell>
          <cell r="AE67">
            <v>12659605.544766778</v>
          </cell>
          <cell r="AF67">
            <v>13032274.672176233</v>
          </cell>
          <cell r="AG67">
            <v>13416577.921461293</v>
          </cell>
          <cell r="AH67">
            <v>13812887.018680891</v>
          </cell>
          <cell r="AI67">
            <v>14221585.976795869</v>
          </cell>
          <cell r="AJ67">
            <v>14643071.52103202</v>
          </cell>
          <cell r="AK67">
            <v>15077753.529841872</v>
          </cell>
          <cell r="AL67">
            <v>15526055.492074963</v>
          </cell>
          <cell r="AM67">
            <v>15988414.980991939</v>
          </cell>
          <cell r="AN67">
            <v>16465284.145784158</v>
          </cell>
          <cell r="AO67">
            <v>16957130.221288271</v>
          </cell>
          <cell r="AP67">
            <v>17464436.056614038</v>
          </cell>
          <cell r="AQ67">
            <v>17987700.663433928</v>
          </cell>
          <cell r="AR67">
            <v>18527439.78471449</v>
          </cell>
          <cell r="AS67">
            <v>19084186.484702349</v>
          </cell>
          <cell r="AT67">
            <v>19658491.761012159</v>
          </cell>
          <cell r="AU67">
            <v>20250925.179699704</v>
          </cell>
          <cell r="AX67">
            <v>0</v>
          </cell>
          <cell r="AY67">
            <v>31803342.176971115</v>
          </cell>
          <cell r="AZ67">
            <v>29823202.87227124</v>
          </cell>
          <cell r="BA67">
            <v>35242421.571733952</v>
          </cell>
          <cell r="BB67">
            <v>11604638.416036215</v>
          </cell>
          <cell r="BC67">
            <v>11946251.782828214</v>
          </cell>
          <cell r="BD67">
            <v>12298529.761339521</v>
          </cell>
          <cell r="BE67">
            <v>12661813.100457486</v>
          </cell>
          <cell r="BF67">
            <v>13036453.812062882</v>
          </cell>
          <cell r="BG67">
            <v>13422815.560946021</v>
          </cell>
          <cell r="BH67">
            <v>13821274.069021717</v>
          </cell>
          <cell r="BI67">
            <v>14232217.534402048</v>
          </cell>
          <cell r="BJ67">
            <v>14656047.06590928</v>
          </cell>
          <cell r="BK67">
            <v>15093177.13363548</v>
          </cell>
          <cell r="BL67">
            <v>15544036.036180917</v>
          </cell>
          <cell r="BM67">
            <v>16009066.385229534</v>
          </cell>
          <cell r="BN67">
            <v>16488725.60814777</v>
          </cell>
          <cell r="BO67">
            <v>16983486.46932162</v>
          </cell>
          <cell r="BP67">
            <v>17493837.61097715</v>
          </cell>
          <cell r="BQ67">
            <v>18020284.114261147</v>
          </cell>
          <cell r="BR67">
            <v>18563348.081391402</v>
          </cell>
          <cell r="BU67">
            <v>0</v>
          </cell>
          <cell r="BV67">
            <v>27466522.789202321</v>
          </cell>
          <cell r="BW67">
            <v>25756402.480597883</v>
          </cell>
          <cell r="BX67">
            <v>30436636.81195204</v>
          </cell>
          <cell r="BY67">
            <v>10022187.722940365</v>
          </cell>
          <cell r="BZ67">
            <v>10317217.448806183</v>
          </cell>
          <cell r="CA67">
            <v>10621457.521156857</v>
          </cell>
          <cell r="CB67">
            <v>10935202.223122373</v>
          </cell>
          <cell r="CC67">
            <v>11258755.564963397</v>
          </cell>
          <cell r="CD67">
            <v>11592431.620817017</v>
          </cell>
          <cell r="CE67">
            <v>11936554.877791479</v>
          </cell>
          <cell r="CF67">
            <v>12291460.597892677</v>
          </cell>
          <cell r="CG67">
            <v>12657495.193285286</v>
          </cell>
          <cell r="CH67">
            <v>13035016.615412459</v>
          </cell>
          <cell r="CI67">
            <v>13424394.75851988</v>
          </cell>
          <cell r="CJ67">
            <v>13826011.878152777</v>
          </cell>
          <cell r="CK67">
            <v>14240263.025218528</v>
          </cell>
          <cell r="CL67">
            <v>14667556.496232305</v>
          </cell>
          <cell r="CM67">
            <v>15108314.300389357</v>
          </cell>
          <cell r="CN67">
            <v>15562972.644134626</v>
          </cell>
          <cell r="CO67">
            <v>16031982.433928933</v>
          </cell>
        </row>
        <row r="69">
          <cell r="B69" t="str">
            <v>Probability Offset</v>
          </cell>
          <cell r="D69">
            <v>4</v>
          </cell>
          <cell r="E69">
            <v>5</v>
          </cell>
          <cell r="F69">
            <v>6</v>
          </cell>
          <cell r="G69">
            <v>7</v>
          </cell>
          <cell r="H69">
            <v>8</v>
          </cell>
          <cell r="I69">
            <v>9</v>
          </cell>
          <cell r="J69">
            <v>10</v>
          </cell>
          <cell r="K69">
            <v>11</v>
          </cell>
          <cell r="L69">
            <v>12</v>
          </cell>
          <cell r="M69">
            <v>13</v>
          </cell>
          <cell r="N69">
            <v>14</v>
          </cell>
          <cell r="O69">
            <v>15</v>
          </cell>
          <cell r="P69">
            <v>16</v>
          </cell>
          <cell r="Q69">
            <v>17</v>
          </cell>
          <cell r="R69">
            <v>18</v>
          </cell>
          <cell r="S69">
            <v>19</v>
          </cell>
          <cell r="T69">
            <v>20</v>
          </cell>
          <cell r="U69">
            <v>21</v>
          </cell>
          <cell r="V69">
            <v>22</v>
          </cell>
          <cell r="W69">
            <v>23</v>
          </cell>
          <cell r="X69">
            <v>24</v>
          </cell>
          <cell r="AA69">
            <v>26</v>
          </cell>
          <cell r="AB69">
            <v>27</v>
          </cell>
          <cell r="AC69">
            <v>28</v>
          </cell>
          <cell r="AD69">
            <v>29</v>
          </cell>
          <cell r="AE69">
            <v>30</v>
          </cell>
          <cell r="AF69">
            <v>31</v>
          </cell>
          <cell r="AG69">
            <v>32</v>
          </cell>
          <cell r="AH69">
            <v>33</v>
          </cell>
          <cell r="AI69">
            <v>34</v>
          </cell>
          <cell r="AJ69">
            <v>35</v>
          </cell>
          <cell r="AK69">
            <v>36</v>
          </cell>
          <cell r="AL69">
            <v>37</v>
          </cell>
          <cell r="AM69">
            <v>38</v>
          </cell>
          <cell r="AN69">
            <v>39</v>
          </cell>
          <cell r="AO69">
            <v>40</v>
          </cell>
          <cell r="AP69">
            <v>41</v>
          </cell>
          <cell r="AQ69">
            <v>42</v>
          </cell>
          <cell r="AR69">
            <v>43</v>
          </cell>
          <cell r="AS69">
            <v>44</v>
          </cell>
          <cell r="AT69">
            <v>45</v>
          </cell>
          <cell r="AU69">
            <v>46</v>
          </cell>
          <cell r="AX69">
            <v>48</v>
          </cell>
          <cell r="AY69">
            <v>49</v>
          </cell>
          <cell r="AZ69">
            <v>50</v>
          </cell>
          <cell r="BA69">
            <v>51</v>
          </cell>
          <cell r="BB69">
            <v>52</v>
          </cell>
          <cell r="BC69">
            <v>53</v>
          </cell>
          <cell r="BD69">
            <v>54</v>
          </cell>
          <cell r="BE69">
            <v>55</v>
          </cell>
          <cell r="BF69">
            <v>56</v>
          </cell>
          <cell r="BG69">
            <v>57</v>
          </cell>
          <cell r="BH69">
            <v>58</v>
          </cell>
          <cell r="BI69">
            <v>59</v>
          </cell>
          <cell r="BJ69">
            <v>60</v>
          </cell>
          <cell r="BK69">
            <v>61</v>
          </cell>
          <cell r="BL69">
            <v>62</v>
          </cell>
          <cell r="BM69">
            <v>63</v>
          </cell>
          <cell r="BN69">
            <v>64</v>
          </cell>
          <cell r="BO69">
            <v>65</v>
          </cell>
          <cell r="BP69">
            <v>66</v>
          </cell>
          <cell r="BQ69">
            <v>67</v>
          </cell>
          <cell r="BR69">
            <v>68</v>
          </cell>
          <cell r="BU69">
            <v>70</v>
          </cell>
          <cell r="BV69">
            <v>71</v>
          </cell>
          <cell r="BW69">
            <v>72</v>
          </cell>
          <cell r="BX69">
            <v>73</v>
          </cell>
          <cell r="BY69">
            <v>74</v>
          </cell>
          <cell r="BZ69">
            <v>75</v>
          </cell>
          <cell r="CA69">
            <v>76</v>
          </cell>
          <cell r="CB69">
            <v>77</v>
          </cell>
          <cell r="CC69">
            <v>78</v>
          </cell>
          <cell r="CD69">
            <v>79</v>
          </cell>
          <cell r="CE69">
            <v>80</v>
          </cell>
          <cell r="CF69">
            <v>81</v>
          </cell>
          <cell r="CG69">
            <v>82</v>
          </cell>
          <cell r="CH69">
            <v>83</v>
          </cell>
          <cell r="CI69">
            <v>84</v>
          </cell>
          <cell r="CJ69">
            <v>85</v>
          </cell>
          <cell r="CK69">
            <v>86</v>
          </cell>
          <cell r="CL69">
            <v>87</v>
          </cell>
          <cell r="CM69">
            <v>88</v>
          </cell>
          <cell r="CN69">
            <v>89</v>
          </cell>
          <cell r="CO69">
            <v>90</v>
          </cell>
        </row>
        <row r="70">
          <cell r="B70" t="str">
            <v>Input Offset</v>
          </cell>
          <cell r="D70">
            <v>4</v>
          </cell>
          <cell r="E70">
            <v>5</v>
          </cell>
          <cell r="F70">
            <v>6</v>
          </cell>
          <cell r="G70">
            <v>7</v>
          </cell>
          <cell r="H70">
            <v>8</v>
          </cell>
          <cell r="I70">
            <v>9</v>
          </cell>
          <cell r="J70">
            <v>10</v>
          </cell>
          <cell r="K70">
            <v>11</v>
          </cell>
          <cell r="L70">
            <v>12</v>
          </cell>
          <cell r="M70">
            <v>13</v>
          </cell>
          <cell r="N70">
            <v>14</v>
          </cell>
          <cell r="O70">
            <v>15</v>
          </cell>
          <cell r="P70">
            <v>16</v>
          </cell>
          <cell r="Q70">
            <v>17</v>
          </cell>
          <cell r="R70">
            <v>18</v>
          </cell>
          <cell r="S70">
            <v>19</v>
          </cell>
          <cell r="T70">
            <v>20</v>
          </cell>
          <cell r="U70">
            <v>21</v>
          </cell>
          <cell r="V70">
            <v>22</v>
          </cell>
          <cell r="W70">
            <v>23</v>
          </cell>
          <cell r="X70">
            <v>24</v>
          </cell>
          <cell r="AA70">
            <v>4</v>
          </cell>
          <cell r="AB70">
            <v>5</v>
          </cell>
          <cell r="AC70">
            <v>6</v>
          </cell>
          <cell r="AD70">
            <v>7</v>
          </cell>
          <cell r="AE70">
            <v>8</v>
          </cell>
          <cell r="AF70">
            <v>9</v>
          </cell>
          <cell r="AG70">
            <v>10</v>
          </cell>
          <cell r="AH70">
            <v>11</v>
          </cell>
          <cell r="AI70">
            <v>12</v>
          </cell>
          <cell r="AJ70">
            <v>13</v>
          </cell>
          <cell r="AK70">
            <v>14</v>
          </cell>
          <cell r="AL70">
            <v>15</v>
          </cell>
          <cell r="AM70">
            <v>16</v>
          </cell>
          <cell r="AN70">
            <v>17</v>
          </cell>
          <cell r="AO70">
            <v>18</v>
          </cell>
          <cell r="AP70">
            <v>19</v>
          </cell>
          <cell r="AQ70">
            <v>20</v>
          </cell>
          <cell r="AR70">
            <v>21</v>
          </cell>
          <cell r="AS70">
            <v>22</v>
          </cell>
          <cell r="AT70">
            <v>23</v>
          </cell>
          <cell r="AU70">
            <v>24</v>
          </cell>
          <cell r="AX70">
            <v>4</v>
          </cell>
          <cell r="AY70">
            <v>5</v>
          </cell>
          <cell r="AZ70">
            <v>6</v>
          </cell>
          <cell r="BA70">
            <v>7</v>
          </cell>
          <cell r="BB70">
            <v>8</v>
          </cell>
          <cell r="BC70">
            <v>9</v>
          </cell>
          <cell r="BD70">
            <v>10</v>
          </cell>
          <cell r="BE70">
            <v>11</v>
          </cell>
          <cell r="BF70">
            <v>12</v>
          </cell>
          <cell r="BG70">
            <v>13</v>
          </cell>
          <cell r="BH70">
            <v>14</v>
          </cell>
          <cell r="BI70">
            <v>15</v>
          </cell>
          <cell r="BJ70">
            <v>16</v>
          </cell>
          <cell r="BK70">
            <v>17</v>
          </cell>
          <cell r="BL70">
            <v>18</v>
          </cell>
          <cell r="BM70">
            <v>19</v>
          </cell>
          <cell r="BN70">
            <v>20</v>
          </cell>
          <cell r="BO70">
            <v>21</v>
          </cell>
          <cell r="BP70">
            <v>22</v>
          </cell>
          <cell r="BQ70">
            <v>23</v>
          </cell>
          <cell r="BR70">
            <v>24</v>
          </cell>
          <cell r="BU70">
            <v>4</v>
          </cell>
          <cell r="BV70">
            <v>5</v>
          </cell>
          <cell r="BW70">
            <v>6</v>
          </cell>
          <cell r="BX70">
            <v>7</v>
          </cell>
          <cell r="BY70">
            <v>8</v>
          </cell>
          <cell r="BZ70">
            <v>9</v>
          </cell>
          <cell r="CA70">
            <v>10</v>
          </cell>
          <cell r="CB70">
            <v>11</v>
          </cell>
          <cell r="CC70">
            <v>12</v>
          </cell>
          <cell r="CD70">
            <v>13</v>
          </cell>
          <cell r="CE70">
            <v>14</v>
          </cell>
          <cell r="CF70">
            <v>15</v>
          </cell>
          <cell r="CG70">
            <v>16</v>
          </cell>
          <cell r="CH70">
            <v>17</v>
          </cell>
          <cell r="CI70">
            <v>18</v>
          </cell>
          <cell r="CJ70">
            <v>19</v>
          </cell>
          <cell r="CK70">
            <v>20</v>
          </cell>
          <cell r="CL70">
            <v>21</v>
          </cell>
          <cell r="CM70">
            <v>22</v>
          </cell>
          <cell r="CN70">
            <v>23</v>
          </cell>
          <cell r="CO70">
            <v>24</v>
          </cell>
        </row>
        <row r="71">
          <cell r="B71" t="str">
            <v>BENEFITS</v>
          </cell>
        </row>
        <row r="73">
          <cell r="B73" t="str">
            <v>Benefits</v>
          </cell>
          <cell r="D73" t="str">
            <v xml:space="preserve">Initial </v>
          </cell>
          <cell r="E73" t="str">
            <v>Year 1</v>
          </cell>
          <cell r="F73" t="str">
            <v>Year 2</v>
          </cell>
          <cell r="G73" t="str">
            <v>Year 3</v>
          </cell>
          <cell r="H73" t="str">
            <v>Year 4</v>
          </cell>
          <cell r="I73" t="str">
            <v>Year 5</v>
          </cell>
          <cell r="J73" t="str">
            <v>Year 6</v>
          </cell>
          <cell r="K73" t="str">
            <v>Year 7</v>
          </cell>
          <cell r="L73" t="str">
            <v>Year 8</v>
          </cell>
          <cell r="M73" t="str">
            <v>Year 9</v>
          </cell>
          <cell r="N73" t="str">
            <v>Year 10</v>
          </cell>
          <cell r="O73" t="str">
            <v>Year 11</v>
          </cell>
          <cell r="P73" t="str">
            <v>Year 12</v>
          </cell>
          <cell r="Q73" t="str">
            <v>Year 13</v>
          </cell>
          <cell r="R73" t="str">
            <v>Year 14</v>
          </cell>
          <cell r="S73" t="str">
            <v>Year 15</v>
          </cell>
          <cell r="T73" t="str">
            <v>Year 16</v>
          </cell>
          <cell r="U73" t="str">
            <v>Year 17</v>
          </cell>
          <cell r="V73" t="str">
            <v>Year 18</v>
          </cell>
          <cell r="W73" t="str">
            <v>Year 19</v>
          </cell>
          <cell r="X73" t="str">
            <v>Year 20</v>
          </cell>
          <cell r="AA73" t="str">
            <v xml:space="preserve">Initial </v>
          </cell>
          <cell r="AB73" t="str">
            <v>Year 1</v>
          </cell>
          <cell r="AC73" t="str">
            <v>Year 2</v>
          </cell>
          <cell r="AD73" t="str">
            <v>Year 3</v>
          </cell>
          <cell r="AE73" t="str">
            <v>Year 4</v>
          </cell>
          <cell r="AF73" t="str">
            <v>Year 5</v>
          </cell>
          <cell r="AG73" t="str">
            <v>Year 6</v>
          </cell>
          <cell r="AH73" t="str">
            <v>Year 7</v>
          </cell>
          <cell r="AI73" t="str">
            <v>Year 8</v>
          </cell>
          <cell r="AJ73" t="str">
            <v>Year 9</v>
          </cell>
          <cell r="AK73" t="str">
            <v>Year 10</v>
          </cell>
          <cell r="AL73" t="str">
            <v>Year 11</v>
          </cell>
          <cell r="AM73" t="str">
            <v>Year 12</v>
          </cell>
          <cell r="AN73" t="str">
            <v>Year 13</v>
          </cell>
          <cell r="AO73" t="str">
            <v>Year 14</v>
          </cell>
          <cell r="AP73" t="str">
            <v>Year 15</v>
          </cell>
          <cell r="AQ73" t="str">
            <v>Year 16</v>
          </cell>
          <cell r="AR73" t="str">
            <v>Year 17</v>
          </cell>
          <cell r="AS73" t="str">
            <v>Year 18</v>
          </cell>
          <cell r="AT73" t="str">
            <v>Year 19</v>
          </cell>
          <cell r="AU73" t="str">
            <v>Year 20</v>
          </cell>
          <cell r="AX73" t="str">
            <v xml:space="preserve">Initial </v>
          </cell>
          <cell r="AY73" t="str">
            <v>Year 1</v>
          </cell>
          <cell r="AZ73" t="str">
            <v>Year 2</v>
          </cell>
          <cell r="BA73" t="str">
            <v>Year 3</v>
          </cell>
          <cell r="BB73" t="str">
            <v>Year 4</v>
          </cell>
          <cell r="BC73" t="str">
            <v>Year 5</v>
          </cell>
          <cell r="BD73" t="str">
            <v>Year 6</v>
          </cell>
          <cell r="BE73" t="str">
            <v>Year 7</v>
          </cell>
          <cell r="BF73" t="str">
            <v>Year 8</v>
          </cell>
          <cell r="BG73" t="str">
            <v>Year 9</v>
          </cell>
          <cell r="BH73" t="str">
            <v>Year 10</v>
          </cell>
          <cell r="BI73" t="str">
            <v>Year 11</v>
          </cell>
          <cell r="BJ73" t="str">
            <v>Year 12</v>
          </cell>
          <cell r="BK73" t="str">
            <v>Year 13</v>
          </cell>
          <cell r="BL73" t="str">
            <v>Year 14</v>
          </cell>
          <cell r="BM73" t="str">
            <v>Year 15</v>
          </cell>
          <cell r="BN73" t="str">
            <v>Year 16</v>
          </cell>
          <cell r="BO73" t="str">
            <v>Year 17</v>
          </cell>
          <cell r="BP73" t="str">
            <v>Year 18</v>
          </cell>
          <cell r="BQ73" t="str">
            <v>Year 19</v>
          </cell>
          <cell r="BR73" t="str">
            <v>Year 20</v>
          </cell>
          <cell r="BU73" t="str">
            <v xml:space="preserve">Initial </v>
          </cell>
          <cell r="BV73" t="str">
            <v>Year 1</v>
          </cell>
          <cell r="BW73" t="str">
            <v>Year 2</v>
          </cell>
          <cell r="BX73" t="str">
            <v>Year 3</v>
          </cell>
          <cell r="BY73" t="str">
            <v>Year 4</v>
          </cell>
          <cell r="BZ73" t="str">
            <v>Year 5</v>
          </cell>
          <cell r="CA73" t="str">
            <v>Year 6</v>
          </cell>
          <cell r="CB73" t="str">
            <v>Year 7</v>
          </cell>
          <cell r="CC73" t="str">
            <v>Year 8</v>
          </cell>
          <cell r="CD73" t="str">
            <v>Year 9</v>
          </cell>
          <cell r="CE73" t="str">
            <v>Year 10</v>
          </cell>
          <cell r="CF73" t="str">
            <v>Year 11</v>
          </cell>
          <cell r="CG73" t="str">
            <v>Year 12</v>
          </cell>
          <cell r="CH73" t="str">
            <v>Year 13</v>
          </cell>
          <cell r="CI73" t="str">
            <v>Year 14</v>
          </cell>
          <cell r="CJ73" t="str">
            <v>Year 15</v>
          </cell>
          <cell r="CK73" t="str">
            <v>Year 16</v>
          </cell>
          <cell r="CL73" t="str">
            <v>Year 17</v>
          </cell>
          <cell r="CM73" t="str">
            <v>Year 18</v>
          </cell>
          <cell r="CN73" t="str">
            <v>Year 19</v>
          </cell>
          <cell r="CO73" t="str">
            <v>Year 20</v>
          </cell>
        </row>
        <row r="74">
          <cell r="A74" t="str">
            <v>HARD</v>
          </cell>
          <cell r="B74" t="str">
            <v>Hard Benefits</v>
          </cell>
        </row>
        <row r="75">
          <cell r="A75" t="str">
            <v>HARDHardware Maintenance</v>
          </cell>
          <cell r="B75" t="str">
            <v>Hardware Maintenance</v>
          </cell>
          <cell r="D75">
            <v>0</v>
          </cell>
          <cell r="E75">
            <v>0</v>
          </cell>
          <cell r="F75">
            <v>0</v>
          </cell>
          <cell r="G75">
            <v>681575</v>
          </cell>
          <cell r="H75">
            <v>681575</v>
          </cell>
          <cell r="I75">
            <v>681575</v>
          </cell>
          <cell r="J75">
            <v>681575</v>
          </cell>
          <cell r="K75">
            <v>681575</v>
          </cell>
          <cell r="L75">
            <v>681575</v>
          </cell>
          <cell r="M75">
            <v>681575</v>
          </cell>
          <cell r="N75">
            <v>681575</v>
          </cell>
          <cell r="O75">
            <v>681575</v>
          </cell>
          <cell r="P75">
            <v>681575</v>
          </cell>
          <cell r="Q75">
            <v>681575</v>
          </cell>
          <cell r="R75">
            <v>681575</v>
          </cell>
          <cell r="S75">
            <v>681575</v>
          </cell>
          <cell r="T75">
            <v>681575</v>
          </cell>
          <cell r="U75">
            <v>681575</v>
          </cell>
          <cell r="V75">
            <v>681575</v>
          </cell>
          <cell r="W75">
            <v>681575</v>
          </cell>
          <cell r="X75">
            <v>681575</v>
          </cell>
          <cell r="AA75">
            <v>0</v>
          </cell>
          <cell r="AB75">
            <v>0</v>
          </cell>
          <cell r="AC75">
            <v>0</v>
          </cell>
          <cell r="AD75">
            <v>545260</v>
          </cell>
          <cell r="AE75">
            <v>545260</v>
          </cell>
          <cell r="AF75">
            <v>545260</v>
          </cell>
          <cell r="AG75">
            <v>545260</v>
          </cell>
          <cell r="AH75">
            <v>545260</v>
          </cell>
          <cell r="AI75">
            <v>545260</v>
          </cell>
          <cell r="AJ75">
            <v>545260</v>
          </cell>
          <cell r="AK75">
            <v>545260</v>
          </cell>
          <cell r="AL75">
            <v>545260</v>
          </cell>
          <cell r="AM75">
            <v>545260</v>
          </cell>
          <cell r="AN75">
            <v>545260</v>
          </cell>
          <cell r="AO75">
            <v>545260</v>
          </cell>
          <cell r="AP75">
            <v>545260</v>
          </cell>
          <cell r="AQ75">
            <v>545260</v>
          </cell>
          <cell r="AR75">
            <v>545260</v>
          </cell>
          <cell r="AS75">
            <v>545260</v>
          </cell>
          <cell r="AT75">
            <v>545260</v>
          </cell>
          <cell r="AU75">
            <v>545260</v>
          </cell>
          <cell r="AX75">
            <v>0</v>
          </cell>
          <cell r="AY75">
            <v>0</v>
          </cell>
          <cell r="AZ75">
            <v>0</v>
          </cell>
          <cell r="BA75">
            <v>613417.5</v>
          </cell>
          <cell r="BB75">
            <v>613417.5</v>
          </cell>
          <cell r="BC75">
            <v>613417.5</v>
          </cell>
          <cell r="BD75">
            <v>613417.5</v>
          </cell>
          <cell r="BE75">
            <v>613417.5</v>
          </cell>
          <cell r="BF75">
            <v>613417.5</v>
          </cell>
          <cell r="BG75">
            <v>613417.5</v>
          </cell>
          <cell r="BH75">
            <v>613417.5</v>
          </cell>
          <cell r="BI75">
            <v>613417.5</v>
          </cell>
          <cell r="BJ75">
            <v>613417.5</v>
          </cell>
          <cell r="BK75">
            <v>613417.5</v>
          </cell>
          <cell r="BL75">
            <v>613417.5</v>
          </cell>
          <cell r="BM75">
            <v>613417.5</v>
          </cell>
          <cell r="BN75">
            <v>613417.5</v>
          </cell>
          <cell r="BO75">
            <v>613417.5</v>
          </cell>
          <cell r="BP75">
            <v>613417.5</v>
          </cell>
          <cell r="BQ75">
            <v>613417.5</v>
          </cell>
          <cell r="BR75">
            <v>613417.5</v>
          </cell>
          <cell r="BU75">
            <v>0</v>
          </cell>
          <cell r="BV75">
            <v>0</v>
          </cell>
          <cell r="BW75">
            <v>0</v>
          </cell>
          <cell r="BX75">
            <v>783811.24999999988</v>
          </cell>
          <cell r="BY75">
            <v>783811.24999999988</v>
          </cell>
          <cell r="BZ75">
            <v>783811.24999999988</v>
          </cell>
          <cell r="CA75">
            <v>783811.24999999988</v>
          </cell>
          <cell r="CB75">
            <v>783811.24999999988</v>
          </cell>
          <cell r="CC75">
            <v>783811.24999999988</v>
          </cell>
          <cell r="CD75">
            <v>783811.24999999988</v>
          </cell>
          <cell r="CE75">
            <v>783811.24999999988</v>
          </cell>
          <cell r="CF75">
            <v>783811.24999999988</v>
          </cell>
          <cell r="CG75">
            <v>783811.24999999988</v>
          </cell>
          <cell r="CH75">
            <v>783811.24999999988</v>
          </cell>
          <cell r="CI75">
            <v>783811.24999999988</v>
          </cell>
          <cell r="CJ75">
            <v>783811.24999999988</v>
          </cell>
          <cell r="CK75">
            <v>783811.24999999988</v>
          </cell>
          <cell r="CL75">
            <v>783811.24999999988</v>
          </cell>
          <cell r="CM75">
            <v>783811.24999999988</v>
          </cell>
          <cell r="CN75">
            <v>783811.24999999988</v>
          </cell>
          <cell r="CO75">
            <v>783811.24999999988</v>
          </cell>
        </row>
        <row r="76">
          <cell r="A76" t="str">
            <v>HARDSoftware Maintenance</v>
          </cell>
          <cell r="B76" t="str">
            <v>Software Maintenance</v>
          </cell>
          <cell r="D76">
            <v>0</v>
          </cell>
          <cell r="E76">
            <v>0</v>
          </cell>
          <cell r="F76">
            <v>0</v>
          </cell>
          <cell r="G76">
            <v>1588249.8</v>
          </cell>
          <cell r="H76">
            <v>1588249.8</v>
          </cell>
          <cell r="I76">
            <v>1588249.8</v>
          </cell>
          <cell r="J76">
            <v>1588249.8</v>
          </cell>
          <cell r="K76">
            <v>1588249.8</v>
          </cell>
          <cell r="L76">
            <v>1588249.8</v>
          </cell>
          <cell r="M76">
            <v>1588249.8</v>
          </cell>
          <cell r="N76">
            <v>1588249.8</v>
          </cell>
          <cell r="O76">
            <v>1588249.8</v>
          </cell>
          <cell r="P76">
            <v>1588249.8</v>
          </cell>
          <cell r="Q76">
            <v>1588249.8</v>
          </cell>
          <cell r="R76">
            <v>1588249.8</v>
          </cell>
          <cell r="S76">
            <v>1588249.8</v>
          </cell>
          <cell r="T76">
            <v>1588249.8</v>
          </cell>
          <cell r="U76">
            <v>1588249.8</v>
          </cell>
          <cell r="V76">
            <v>1588249.8</v>
          </cell>
          <cell r="W76">
            <v>1588249.8</v>
          </cell>
          <cell r="X76">
            <v>1588249.8</v>
          </cell>
          <cell r="AA76">
            <v>0</v>
          </cell>
          <cell r="AB76">
            <v>0</v>
          </cell>
          <cell r="AC76">
            <v>0</v>
          </cell>
          <cell r="AD76">
            <v>1270599.8400000001</v>
          </cell>
          <cell r="AE76">
            <v>1270599.8400000001</v>
          </cell>
          <cell r="AF76">
            <v>1270599.8400000001</v>
          </cell>
          <cell r="AG76">
            <v>1270599.8400000001</v>
          </cell>
          <cell r="AH76">
            <v>1270599.8400000001</v>
          </cell>
          <cell r="AI76">
            <v>1270599.8400000001</v>
          </cell>
          <cell r="AJ76">
            <v>1270599.8400000001</v>
          </cell>
          <cell r="AK76">
            <v>1270599.8400000001</v>
          </cell>
          <cell r="AL76">
            <v>1270599.8400000001</v>
          </cell>
          <cell r="AM76">
            <v>1270599.8400000001</v>
          </cell>
          <cell r="AN76">
            <v>1270599.8400000001</v>
          </cell>
          <cell r="AO76">
            <v>1270599.8400000001</v>
          </cell>
          <cell r="AP76">
            <v>1270599.8400000001</v>
          </cell>
          <cell r="AQ76">
            <v>1270599.8400000001</v>
          </cell>
          <cell r="AR76">
            <v>1270599.8400000001</v>
          </cell>
          <cell r="AS76">
            <v>1270599.8400000001</v>
          </cell>
          <cell r="AT76">
            <v>1270599.8400000001</v>
          </cell>
          <cell r="AU76">
            <v>1270599.8400000001</v>
          </cell>
          <cell r="AX76">
            <v>0</v>
          </cell>
          <cell r="AY76">
            <v>0</v>
          </cell>
          <cell r="AZ76">
            <v>0</v>
          </cell>
          <cell r="BA76">
            <v>1429424.82</v>
          </cell>
          <cell r="BB76">
            <v>1429424.82</v>
          </cell>
          <cell r="BC76">
            <v>1429424.82</v>
          </cell>
          <cell r="BD76">
            <v>1429424.82</v>
          </cell>
          <cell r="BE76">
            <v>1429424.82</v>
          </cell>
          <cell r="BF76">
            <v>1429424.82</v>
          </cell>
          <cell r="BG76">
            <v>1429424.82</v>
          </cell>
          <cell r="BH76">
            <v>1429424.82</v>
          </cell>
          <cell r="BI76">
            <v>1429424.82</v>
          </cell>
          <cell r="BJ76">
            <v>1429424.82</v>
          </cell>
          <cell r="BK76">
            <v>1429424.82</v>
          </cell>
          <cell r="BL76">
            <v>1429424.82</v>
          </cell>
          <cell r="BM76">
            <v>1429424.82</v>
          </cell>
          <cell r="BN76">
            <v>1429424.82</v>
          </cell>
          <cell r="BO76">
            <v>1429424.82</v>
          </cell>
          <cell r="BP76">
            <v>1429424.82</v>
          </cell>
          <cell r="BQ76">
            <v>1429424.82</v>
          </cell>
          <cell r="BR76">
            <v>1429424.82</v>
          </cell>
          <cell r="BU76">
            <v>0</v>
          </cell>
          <cell r="BV76">
            <v>0</v>
          </cell>
          <cell r="BW76">
            <v>0</v>
          </cell>
          <cell r="BX76">
            <v>1826487.27</v>
          </cell>
          <cell r="BY76">
            <v>1826487.27</v>
          </cell>
          <cell r="BZ76">
            <v>1826487.27</v>
          </cell>
          <cell r="CA76">
            <v>1826487.27</v>
          </cell>
          <cell r="CB76">
            <v>1826487.27</v>
          </cell>
          <cell r="CC76">
            <v>1826487.27</v>
          </cell>
          <cell r="CD76">
            <v>1826487.27</v>
          </cell>
          <cell r="CE76">
            <v>1826487.27</v>
          </cell>
          <cell r="CF76">
            <v>1826487.27</v>
          </cell>
          <cell r="CG76">
            <v>1826487.27</v>
          </cell>
          <cell r="CH76">
            <v>1826487.27</v>
          </cell>
          <cell r="CI76">
            <v>1826487.27</v>
          </cell>
          <cell r="CJ76">
            <v>1826487.27</v>
          </cell>
          <cell r="CK76">
            <v>1826487.27</v>
          </cell>
          <cell r="CL76">
            <v>1826487.27</v>
          </cell>
          <cell r="CM76">
            <v>1826487.27</v>
          </cell>
          <cell r="CN76">
            <v>1826487.27</v>
          </cell>
          <cell r="CO76">
            <v>1826487.27</v>
          </cell>
        </row>
        <row r="77">
          <cell r="A77" t="str">
            <v>HARDPAS Consulting Fees</v>
          </cell>
          <cell r="B77" t="str">
            <v>PAS Consulting Fees</v>
          </cell>
          <cell r="D77">
            <v>0</v>
          </cell>
          <cell r="E77">
            <v>0</v>
          </cell>
          <cell r="F77">
            <v>0</v>
          </cell>
          <cell r="G77">
            <v>305635</v>
          </cell>
          <cell r="H77">
            <v>305635</v>
          </cell>
          <cell r="I77">
            <v>305635</v>
          </cell>
          <cell r="J77">
            <v>305635</v>
          </cell>
          <cell r="K77">
            <v>305635</v>
          </cell>
          <cell r="L77">
            <v>305635</v>
          </cell>
          <cell r="M77">
            <v>305635</v>
          </cell>
          <cell r="N77">
            <v>305635</v>
          </cell>
          <cell r="O77">
            <v>305635</v>
          </cell>
          <cell r="P77">
            <v>305635</v>
          </cell>
          <cell r="Q77">
            <v>305635</v>
          </cell>
          <cell r="R77">
            <v>305635</v>
          </cell>
          <cell r="S77">
            <v>305635</v>
          </cell>
          <cell r="T77">
            <v>305635</v>
          </cell>
          <cell r="U77">
            <v>305635</v>
          </cell>
          <cell r="V77">
            <v>305635</v>
          </cell>
          <cell r="W77">
            <v>305635</v>
          </cell>
          <cell r="X77">
            <v>305635</v>
          </cell>
          <cell r="AA77">
            <v>0</v>
          </cell>
          <cell r="AB77">
            <v>0</v>
          </cell>
          <cell r="AC77">
            <v>0</v>
          </cell>
          <cell r="AD77">
            <v>244508</v>
          </cell>
          <cell r="AE77">
            <v>244508</v>
          </cell>
          <cell r="AF77">
            <v>244508</v>
          </cell>
          <cell r="AG77">
            <v>244508</v>
          </cell>
          <cell r="AH77">
            <v>244508</v>
          </cell>
          <cell r="AI77">
            <v>244508</v>
          </cell>
          <cell r="AJ77">
            <v>244508</v>
          </cell>
          <cell r="AK77">
            <v>244508</v>
          </cell>
          <cell r="AL77">
            <v>244508</v>
          </cell>
          <cell r="AM77">
            <v>244508</v>
          </cell>
          <cell r="AN77">
            <v>244508</v>
          </cell>
          <cell r="AO77">
            <v>244508</v>
          </cell>
          <cell r="AP77">
            <v>244508</v>
          </cell>
          <cell r="AQ77">
            <v>244508</v>
          </cell>
          <cell r="AR77">
            <v>244508</v>
          </cell>
          <cell r="AS77">
            <v>244508</v>
          </cell>
          <cell r="AT77">
            <v>244508</v>
          </cell>
          <cell r="AU77">
            <v>244508</v>
          </cell>
          <cell r="AX77">
            <v>0</v>
          </cell>
          <cell r="AY77">
            <v>0</v>
          </cell>
          <cell r="AZ77">
            <v>0</v>
          </cell>
          <cell r="BA77">
            <v>275071.5</v>
          </cell>
          <cell r="BB77">
            <v>275071.5</v>
          </cell>
          <cell r="BC77">
            <v>275071.5</v>
          </cell>
          <cell r="BD77">
            <v>275071.5</v>
          </cell>
          <cell r="BE77">
            <v>275071.5</v>
          </cell>
          <cell r="BF77">
            <v>275071.5</v>
          </cell>
          <cell r="BG77">
            <v>275071.5</v>
          </cell>
          <cell r="BH77">
            <v>275071.5</v>
          </cell>
          <cell r="BI77">
            <v>275071.5</v>
          </cell>
          <cell r="BJ77">
            <v>275071.5</v>
          </cell>
          <cell r="BK77">
            <v>275071.5</v>
          </cell>
          <cell r="BL77">
            <v>275071.5</v>
          </cell>
          <cell r="BM77">
            <v>275071.5</v>
          </cell>
          <cell r="BN77">
            <v>275071.5</v>
          </cell>
          <cell r="BO77">
            <v>275071.5</v>
          </cell>
          <cell r="BP77">
            <v>275071.5</v>
          </cell>
          <cell r="BQ77">
            <v>275071.5</v>
          </cell>
          <cell r="BR77">
            <v>275071.5</v>
          </cell>
          <cell r="BU77">
            <v>0</v>
          </cell>
          <cell r="BV77">
            <v>0</v>
          </cell>
          <cell r="BW77">
            <v>0</v>
          </cell>
          <cell r="BX77">
            <v>351480.25</v>
          </cell>
          <cell r="BY77">
            <v>351480.25</v>
          </cell>
          <cell r="BZ77">
            <v>351480.25</v>
          </cell>
          <cell r="CA77">
            <v>351480.25</v>
          </cell>
          <cell r="CB77">
            <v>351480.25</v>
          </cell>
          <cell r="CC77">
            <v>351480.25</v>
          </cell>
          <cell r="CD77">
            <v>351480.25</v>
          </cell>
          <cell r="CE77">
            <v>351480.25</v>
          </cell>
          <cell r="CF77">
            <v>351480.25</v>
          </cell>
          <cell r="CG77">
            <v>351480.25</v>
          </cell>
          <cell r="CH77">
            <v>351480.25</v>
          </cell>
          <cell r="CI77">
            <v>351480.25</v>
          </cell>
          <cell r="CJ77">
            <v>351480.25</v>
          </cell>
          <cell r="CK77">
            <v>351480.25</v>
          </cell>
          <cell r="CL77">
            <v>351480.25</v>
          </cell>
          <cell r="CM77">
            <v>351480.25</v>
          </cell>
          <cell r="CN77">
            <v>351480.25</v>
          </cell>
          <cell r="CO77">
            <v>351480.25</v>
          </cell>
        </row>
        <row r="78">
          <cell r="A78" t="str">
            <v>HARDSupporting HW and SW Fees</v>
          </cell>
          <cell r="B78" t="str">
            <v>Supporting HW and SW Fees</v>
          </cell>
          <cell r="D78">
            <v>0</v>
          </cell>
          <cell r="E78">
            <v>0</v>
          </cell>
          <cell r="F78">
            <v>0</v>
          </cell>
          <cell r="G78">
            <v>19200</v>
          </cell>
          <cell r="H78">
            <v>19200</v>
          </cell>
          <cell r="I78">
            <v>19200</v>
          </cell>
          <cell r="J78">
            <v>19200</v>
          </cell>
          <cell r="K78">
            <v>19200</v>
          </cell>
          <cell r="L78">
            <v>19200</v>
          </cell>
          <cell r="M78">
            <v>19200</v>
          </cell>
          <cell r="N78">
            <v>19200</v>
          </cell>
          <cell r="O78">
            <v>19200</v>
          </cell>
          <cell r="P78">
            <v>19200</v>
          </cell>
          <cell r="Q78">
            <v>19200</v>
          </cell>
          <cell r="R78">
            <v>19200</v>
          </cell>
          <cell r="S78">
            <v>19200</v>
          </cell>
          <cell r="T78">
            <v>19200</v>
          </cell>
          <cell r="U78">
            <v>19200</v>
          </cell>
          <cell r="V78">
            <v>19200</v>
          </cell>
          <cell r="W78">
            <v>19200</v>
          </cell>
          <cell r="X78">
            <v>19200</v>
          </cell>
          <cell r="AA78">
            <v>0</v>
          </cell>
          <cell r="AB78">
            <v>0</v>
          </cell>
          <cell r="AC78">
            <v>0</v>
          </cell>
          <cell r="AD78">
            <v>15360</v>
          </cell>
          <cell r="AE78">
            <v>15360</v>
          </cell>
          <cell r="AF78">
            <v>15360</v>
          </cell>
          <cell r="AG78">
            <v>15360</v>
          </cell>
          <cell r="AH78">
            <v>15360</v>
          </cell>
          <cell r="AI78">
            <v>15360</v>
          </cell>
          <cell r="AJ78">
            <v>15360</v>
          </cell>
          <cell r="AK78">
            <v>15360</v>
          </cell>
          <cell r="AL78">
            <v>15360</v>
          </cell>
          <cell r="AM78">
            <v>15360</v>
          </cell>
          <cell r="AN78">
            <v>15360</v>
          </cell>
          <cell r="AO78">
            <v>15360</v>
          </cell>
          <cell r="AP78">
            <v>15360</v>
          </cell>
          <cell r="AQ78">
            <v>15360</v>
          </cell>
          <cell r="AR78">
            <v>15360</v>
          </cell>
          <cell r="AS78">
            <v>15360</v>
          </cell>
          <cell r="AT78">
            <v>15360</v>
          </cell>
          <cell r="AU78">
            <v>15360</v>
          </cell>
          <cell r="AX78">
            <v>0</v>
          </cell>
          <cell r="AY78">
            <v>0</v>
          </cell>
          <cell r="AZ78">
            <v>0</v>
          </cell>
          <cell r="BA78">
            <v>17280</v>
          </cell>
          <cell r="BB78">
            <v>17280</v>
          </cell>
          <cell r="BC78">
            <v>17280</v>
          </cell>
          <cell r="BD78">
            <v>17280</v>
          </cell>
          <cell r="BE78">
            <v>17280</v>
          </cell>
          <cell r="BF78">
            <v>17280</v>
          </cell>
          <cell r="BG78">
            <v>17280</v>
          </cell>
          <cell r="BH78">
            <v>17280</v>
          </cell>
          <cell r="BI78">
            <v>17280</v>
          </cell>
          <cell r="BJ78">
            <v>17280</v>
          </cell>
          <cell r="BK78">
            <v>17280</v>
          </cell>
          <cell r="BL78">
            <v>17280</v>
          </cell>
          <cell r="BM78">
            <v>17280</v>
          </cell>
          <cell r="BN78">
            <v>17280</v>
          </cell>
          <cell r="BO78">
            <v>17280</v>
          </cell>
          <cell r="BP78">
            <v>17280</v>
          </cell>
          <cell r="BQ78">
            <v>17280</v>
          </cell>
          <cell r="BR78">
            <v>17280</v>
          </cell>
          <cell r="BU78">
            <v>0</v>
          </cell>
          <cell r="BV78">
            <v>0</v>
          </cell>
          <cell r="BW78">
            <v>0</v>
          </cell>
          <cell r="BX78">
            <v>22080</v>
          </cell>
          <cell r="BY78">
            <v>22080</v>
          </cell>
          <cell r="BZ78">
            <v>22080</v>
          </cell>
          <cell r="CA78">
            <v>22080</v>
          </cell>
          <cell r="CB78">
            <v>22080</v>
          </cell>
          <cell r="CC78">
            <v>22080</v>
          </cell>
          <cell r="CD78">
            <v>22080</v>
          </cell>
          <cell r="CE78">
            <v>22080</v>
          </cell>
          <cell r="CF78">
            <v>22080</v>
          </cell>
          <cell r="CG78">
            <v>22080</v>
          </cell>
          <cell r="CH78">
            <v>22080</v>
          </cell>
          <cell r="CI78">
            <v>22080</v>
          </cell>
          <cell r="CJ78">
            <v>22080</v>
          </cell>
          <cell r="CK78">
            <v>22080</v>
          </cell>
          <cell r="CL78">
            <v>22080</v>
          </cell>
          <cell r="CM78">
            <v>22080</v>
          </cell>
          <cell r="CN78">
            <v>22080</v>
          </cell>
          <cell r="CO78">
            <v>22080</v>
          </cell>
        </row>
        <row r="79">
          <cell r="A79" t="str">
            <v>HARDPAS BT Support Staff</v>
          </cell>
          <cell r="B79" t="str">
            <v>PAS BT Support Staff</v>
          </cell>
          <cell r="D79">
            <v>0</v>
          </cell>
          <cell r="E79">
            <v>0</v>
          </cell>
          <cell r="F79">
            <v>0</v>
          </cell>
          <cell r="G79">
            <v>1005348.4648593751</v>
          </cell>
          <cell r="H79">
            <v>3166847.6643070318</v>
          </cell>
          <cell r="I79">
            <v>4433586.7300298447</v>
          </cell>
          <cell r="J79">
            <v>4655266.0665313369</v>
          </cell>
          <cell r="K79">
            <v>4888029.3698579036</v>
          </cell>
          <cell r="L79">
            <v>5132430.8383507989</v>
          </cell>
          <cell r="M79">
            <v>5389052.3802683381</v>
          </cell>
          <cell r="N79">
            <v>5658504.9992817556</v>
          </cell>
          <cell r="O79">
            <v>5941430.2492458439</v>
          </cell>
          <cell r="P79">
            <v>6238501.7617081366</v>
          </cell>
          <cell r="Q79">
            <v>6550426.8497935422</v>
          </cell>
          <cell r="R79">
            <v>6877948.1922832206</v>
          </cell>
          <cell r="S79">
            <v>7221845.6018973794</v>
          </cell>
          <cell r="T79">
            <v>7582937.8819922516</v>
          </cell>
          <cell r="U79">
            <v>7962084.7760918625</v>
          </cell>
          <cell r="V79">
            <v>8360189.0148964571</v>
          </cell>
          <cell r="W79">
            <v>8778198.4656412806</v>
          </cell>
          <cell r="X79">
            <v>9217108.3889233433</v>
          </cell>
          <cell r="AA79">
            <v>0</v>
          </cell>
          <cell r="AB79">
            <v>0</v>
          </cell>
          <cell r="AC79">
            <v>0</v>
          </cell>
          <cell r="AD79">
            <v>804278.77188750019</v>
          </cell>
          <cell r="AE79">
            <v>2533478.1314456258</v>
          </cell>
          <cell r="AF79">
            <v>3546869.3840238759</v>
          </cell>
          <cell r="AG79">
            <v>3724212.8532250696</v>
          </cell>
          <cell r="AH79">
            <v>3910423.495886323</v>
          </cell>
          <cell r="AI79">
            <v>4105944.6706806393</v>
          </cell>
          <cell r="AJ79">
            <v>4311241.9042146709</v>
          </cell>
          <cell r="AK79">
            <v>4526803.9994254047</v>
          </cell>
          <cell r="AL79">
            <v>4753144.1993966755</v>
          </cell>
          <cell r="AM79">
            <v>4990801.4093665099</v>
          </cell>
          <cell r="AN79">
            <v>5240341.4798348341</v>
          </cell>
          <cell r="AO79">
            <v>5502358.553826577</v>
          </cell>
          <cell r="AP79">
            <v>5777476.4815179035</v>
          </cell>
          <cell r="AQ79">
            <v>6066350.3055938017</v>
          </cell>
          <cell r="AR79">
            <v>6369667.8208734905</v>
          </cell>
          <cell r="AS79">
            <v>6688151.2119171657</v>
          </cell>
          <cell r="AT79">
            <v>7022558.7725130245</v>
          </cell>
          <cell r="AU79">
            <v>7373686.711138675</v>
          </cell>
          <cell r="AX79">
            <v>0</v>
          </cell>
          <cell r="AY79">
            <v>0</v>
          </cell>
          <cell r="AZ79">
            <v>0</v>
          </cell>
          <cell r="BA79">
            <v>904813.61837343767</v>
          </cell>
          <cell r="BB79">
            <v>2850162.8978763288</v>
          </cell>
          <cell r="BC79">
            <v>3990228.0570268603</v>
          </cell>
          <cell r="BD79">
            <v>4189739.4598782035</v>
          </cell>
          <cell r="BE79">
            <v>4399226.4328721138</v>
          </cell>
          <cell r="BF79">
            <v>4619187.7545157196</v>
          </cell>
          <cell r="BG79">
            <v>4850147.142241504</v>
          </cell>
          <cell r="BH79">
            <v>5092654.4993535802</v>
          </cell>
          <cell r="BI79">
            <v>5347287.2243212592</v>
          </cell>
          <cell r="BJ79">
            <v>5614651.5855373228</v>
          </cell>
          <cell r="BK79">
            <v>5895384.1648141881</v>
          </cell>
          <cell r="BL79">
            <v>6190153.3730548983</v>
          </cell>
          <cell r="BM79">
            <v>6499661.0417076414</v>
          </cell>
          <cell r="BN79">
            <v>6824644.0937930262</v>
          </cell>
          <cell r="BO79">
            <v>7165876.298482676</v>
          </cell>
          <cell r="BP79">
            <v>7524170.1134068118</v>
          </cell>
          <cell r="BQ79">
            <v>7900378.6190771526</v>
          </cell>
          <cell r="BR79">
            <v>8295397.5500310091</v>
          </cell>
          <cell r="BU79">
            <v>0</v>
          </cell>
          <cell r="BV79">
            <v>0</v>
          </cell>
          <cell r="BW79">
            <v>0</v>
          </cell>
          <cell r="BX79">
            <v>1156150.7345882813</v>
          </cell>
          <cell r="BY79">
            <v>3641874.8139530863</v>
          </cell>
          <cell r="BZ79">
            <v>5098624.7395343212</v>
          </cell>
          <cell r="CA79">
            <v>5353555.976511037</v>
          </cell>
          <cell r="CB79">
            <v>5621233.7753365887</v>
          </cell>
          <cell r="CC79">
            <v>5902295.4641034184</v>
          </cell>
          <cell r="CD79">
            <v>6197410.2373085888</v>
          </cell>
          <cell r="CE79">
            <v>6507280.7491740184</v>
          </cell>
          <cell r="CF79">
            <v>6832644.7866327194</v>
          </cell>
          <cell r="CG79">
            <v>7174277.025964357</v>
          </cell>
          <cell r="CH79">
            <v>7532990.8772625728</v>
          </cell>
          <cell r="CI79">
            <v>7909640.4211257035</v>
          </cell>
          <cell r="CJ79">
            <v>8305122.4421819858</v>
          </cell>
          <cell r="CK79">
            <v>8720378.5642910879</v>
          </cell>
          <cell r="CL79">
            <v>9156397.4925056417</v>
          </cell>
          <cell r="CM79">
            <v>9614217.367130924</v>
          </cell>
          <cell r="CN79">
            <v>10094928.235487472</v>
          </cell>
          <cell r="CO79">
            <v>10599674.647261843</v>
          </cell>
        </row>
        <row r="80">
          <cell r="A80" t="str">
            <v>HARDBT Efficiencies - Simplification of Interface Support</v>
          </cell>
          <cell r="B80" t="str">
            <v>BT Efficiencies - Simplification of Interface Support</v>
          </cell>
          <cell r="D80">
            <v>0</v>
          </cell>
          <cell r="E80">
            <v>0</v>
          </cell>
          <cell r="F80">
            <v>0</v>
          </cell>
          <cell r="G80">
            <v>117758.14903125</v>
          </cell>
          <cell r="H80">
            <v>370938.16944843758</v>
          </cell>
          <cell r="I80">
            <v>519313.43722781242</v>
          </cell>
          <cell r="J80">
            <v>545279.10908920318</v>
          </cell>
          <cell r="K80">
            <v>572543.06454366317</v>
          </cell>
          <cell r="L80">
            <v>601170.21777084644</v>
          </cell>
          <cell r="M80">
            <v>631228.72865938873</v>
          </cell>
          <cell r="N80">
            <v>662790.16509235825</v>
          </cell>
          <cell r="O80">
            <v>695929.67334697617</v>
          </cell>
          <cell r="P80">
            <v>730726.15701432491</v>
          </cell>
          <cell r="Q80">
            <v>767262.46486504108</v>
          </cell>
          <cell r="R80">
            <v>805625.58810829325</v>
          </cell>
          <cell r="S80">
            <v>845906.86751370772</v>
          </cell>
          <cell r="T80">
            <v>888202.21088939346</v>
          </cell>
          <cell r="U80">
            <v>932612.32143386302</v>
          </cell>
          <cell r="V80">
            <v>979242.93750555627</v>
          </cell>
          <cell r="W80">
            <v>1028205.0843808341</v>
          </cell>
          <cell r="X80">
            <v>1079615.3385998758</v>
          </cell>
          <cell r="AA80">
            <v>0</v>
          </cell>
          <cell r="AB80">
            <v>0</v>
          </cell>
          <cell r="AC80">
            <v>0</v>
          </cell>
          <cell r="AD80">
            <v>94206.519224999996</v>
          </cell>
          <cell r="AE80">
            <v>296750.5355587501</v>
          </cell>
          <cell r="AF80">
            <v>415450.74978224997</v>
          </cell>
          <cell r="AG80">
            <v>436223.28727136255</v>
          </cell>
          <cell r="AH80">
            <v>458034.45163493056</v>
          </cell>
          <cell r="AI80">
            <v>480936.1742166772</v>
          </cell>
          <cell r="AJ80">
            <v>504982.98292751098</v>
          </cell>
          <cell r="AK80">
            <v>530232.13207388658</v>
          </cell>
          <cell r="AL80">
            <v>556743.73867758096</v>
          </cell>
          <cell r="AM80">
            <v>584580.92561146</v>
          </cell>
          <cell r="AN80">
            <v>613809.97189203289</v>
          </cell>
          <cell r="AO80">
            <v>644500.47048663464</v>
          </cell>
          <cell r="AP80">
            <v>676725.49401096627</v>
          </cell>
          <cell r="AQ80">
            <v>710561.76871151477</v>
          </cell>
          <cell r="AR80">
            <v>746089.85714709049</v>
          </cell>
          <cell r="AS80">
            <v>783394.35000444506</v>
          </cell>
          <cell r="AT80">
            <v>822564.06750466733</v>
          </cell>
          <cell r="AU80">
            <v>863692.27087990067</v>
          </cell>
          <cell r="AX80">
            <v>0</v>
          </cell>
          <cell r="AY80">
            <v>0</v>
          </cell>
          <cell r="AZ80">
            <v>0</v>
          </cell>
          <cell r="BA80">
            <v>105982.334128125</v>
          </cell>
          <cell r="BB80">
            <v>333844.35250359384</v>
          </cell>
          <cell r="BC80">
            <v>467382.0935050312</v>
          </cell>
          <cell r="BD80">
            <v>490751.1981802829</v>
          </cell>
          <cell r="BE80">
            <v>515288.75808929687</v>
          </cell>
          <cell r="BF80">
            <v>541053.19599376176</v>
          </cell>
          <cell r="BG80">
            <v>568105.85579344991</v>
          </cell>
          <cell r="BH80">
            <v>596511.14858312241</v>
          </cell>
          <cell r="BI80">
            <v>626336.70601227856</v>
          </cell>
          <cell r="BJ80">
            <v>657653.54131289246</v>
          </cell>
          <cell r="BK80">
            <v>690536.21837853699</v>
          </cell>
          <cell r="BL80">
            <v>725063.02929746395</v>
          </cell>
          <cell r="BM80">
            <v>761316.18076233694</v>
          </cell>
          <cell r="BN80">
            <v>799381.98980045412</v>
          </cell>
          <cell r="BO80">
            <v>839351.08929047675</v>
          </cell>
          <cell r="BP80">
            <v>881318.64375500067</v>
          </cell>
          <cell r="BQ80">
            <v>925384.57594275079</v>
          </cell>
          <cell r="BR80">
            <v>971653.80473988829</v>
          </cell>
          <cell r="BU80">
            <v>0</v>
          </cell>
          <cell r="BV80">
            <v>0</v>
          </cell>
          <cell r="BW80">
            <v>0</v>
          </cell>
          <cell r="BX80">
            <v>135421.8713859375</v>
          </cell>
          <cell r="BY80">
            <v>426578.89486570319</v>
          </cell>
          <cell r="BZ80">
            <v>597210.45281198423</v>
          </cell>
          <cell r="CA80">
            <v>627070.97545258363</v>
          </cell>
          <cell r="CB80">
            <v>658424.52422521263</v>
          </cell>
          <cell r="CC80">
            <v>691345.7504364734</v>
          </cell>
          <cell r="CD80">
            <v>725913.03795829695</v>
          </cell>
          <cell r="CE80">
            <v>762208.68985621189</v>
          </cell>
          <cell r="CF80">
            <v>800319.12434902252</v>
          </cell>
          <cell r="CG80">
            <v>840335.08056647354</v>
          </cell>
          <cell r="CH80">
            <v>882351.83459479723</v>
          </cell>
          <cell r="CI80">
            <v>926469.42632453714</v>
          </cell>
          <cell r="CJ80">
            <v>972792.89764076378</v>
          </cell>
          <cell r="CK80">
            <v>1021432.5425228024</v>
          </cell>
          <cell r="CL80">
            <v>1072504.1696489423</v>
          </cell>
          <cell r="CM80">
            <v>1126129.3781313896</v>
          </cell>
          <cell r="CN80">
            <v>1182435.8470379591</v>
          </cell>
          <cell r="CO80">
            <v>1241557.6393898572</v>
          </cell>
        </row>
        <row r="81">
          <cell r="A81" t="str">
            <v>HARDBT Efficiencies - Technology Rationalization</v>
          </cell>
          <cell r="B81" t="str">
            <v>BT Efficiencies - Technology Rationalization</v>
          </cell>
          <cell r="D81">
            <v>0</v>
          </cell>
          <cell r="E81">
            <v>0</v>
          </cell>
          <cell r="F81">
            <v>0</v>
          </cell>
          <cell r="G81">
            <v>131992.6505625</v>
          </cell>
          <cell r="H81">
            <v>415776.84927187505</v>
          </cell>
          <cell r="I81">
            <v>582087.58898062503</v>
          </cell>
          <cell r="J81">
            <v>611191.96842965635</v>
          </cell>
          <cell r="K81">
            <v>641751.56685113907</v>
          </cell>
          <cell r="L81">
            <v>673839.14519369614</v>
          </cell>
          <cell r="M81">
            <v>707531.10245338094</v>
          </cell>
          <cell r="N81">
            <v>742907.65757604991</v>
          </cell>
          <cell r="O81">
            <v>780053.04045485251</v>
          </cell>
          <cell r="P81">
            <v>819055.69247759518</v>
          </cell>
          <cell r="Q81">
            <v>860008.47710147477</v>
          </cell>
          <cell r="R81">
            <v>903008.90095654863</v>
          </cell>
          <cell r="S81">
            <v>948159.34600437584</v>
          </cell>
          <cell r="T81">
            <v>995567.31330459507</v>
          </cell>
          <cell r="U81">
            <v>1045345.6789698247</v>
          </cell>
          <cell r="V81">
            <v>1097612.962918316</v>
          </cell>
          <cell r="W81">
            <v>1152493.6110642317</v>
          </cell>
          <cell r="X81">
            <v>1210118.2916174433</v>
          </cell>
          <cell r="AA81">
            <v>0</v>
          </cell>
          <cell r="AB81">
            <v>0</v>
          </cell>
          <cell r="AC81">
            <v>0</v>
          </cell>
          <cell r="AD81">
            <v>105594.12045</v>
          </cell>
          <cell r="AE81">
            <v>332621.47941750009</v>
          </cell>
          <cell r="AF81">
            <v>465670.07118450006</v>
          </cell>
          <cell r="AG81">
            <v>488953.57474372513</v>
          </cell>
          <cell r="AH81">
            <v>513401.25348091125</v>
          </cell>
          <cell r="AI81">
            <v>539071.31615495693</v>
          </cell>
          <cell r="AJ81">
            <v>566024.88196270482</v>
          </cell>
          <cell r="AK81">
            <v>594326.12606083998</v>
          </cell>
          <cell r="AL81">
            <v>624042.43236388208</v>
          </cell>
          <cell r="AM81">
            <v>655244.55398207624</v>
          </cell>
          <cell r="AN81">
            <v>688006.78168117988</v>
          </cell>
          <cell r="AO81">
            <v>722407.120765239</v>
          </cell>
          <cell r="AP81">
            <v>758527.47680350067</v>
          </cell>
          <cell r="AQ81">
            <v>796453.85064367612</v>
          </cell>
          <cell r="AR81">
            <v>836276.54317585984</v>
          </cell>
          <cell r="AS81">
            <v>878090.37033465283</v>
          </cell>
          <cell r="AT81">
            <v>921994.88885138545</v>
          </cell>
          <cell r="AU81">
            <v>968094.63329395466</v>
          </cell>
          <cell r="AX81">
            <v>0</v>
          </cell>
          <cell r="AY81">
            <v>0</v>
          </cell>
          <cell r="AZ81">
            <v>0</v>
          </cell>
          <cell r="BA81">
            <v>118793.38550625001</v>
          </cell>
          <cell r="BB81">
            <v>374199.16434468754</v>
          </cell>
          <cell r="BC81">
            <v>523878.83008256252</v>
          </cell>
          <cell r="BD81">
            <v>550072.77158669068</v>
          </cell>
          <cell r="BE81">
            <v>577576.41016602516</v>
          </cell>
          <cell r="BF81">
            <v>606455.23067432654</v>
          </cell>
          <cell r="BG81">
            <v>636777.99220804288</v>
          </cell>
          <cell r="BH81">
            <v>668616.89181844494</v>
          </cell>
          <cell r="BI81">
            <v>702047.73640936729</v>
          </cell>
          <cell r="BJ81">
            <v>737150.12322983565</v>
          </cell>
          <cell r="BK81">
            <v>774007.62939132727</v>
          </cell>
          <cell r="BL81">
            <v>812708.01086089376</v>
          </cell>
          <cell r="BM81">
            <v>853343.41140393831</v>
          </cell>
          <cell r="BN81">
            <v>896010.5819741356</v>
          </cell>
          <cell r="BO81">
            <v>940811.11107284226</v>
          </cell>
          <cell r="BP81">
            <v>987851.66662648448</v>
          </cell>
          <cell r="BQ81">
            <v>1037244.2499578085</v>
          </cell>
          <cell r="BR81">
            <v>1089106.462455699</v>
          </cell>
          <cell r="BU81">
            <v>0</v>
          </cell>
          <cell r="BV81">
            <v>0</v>
          </cell>
          <cell r="BW81">
            <v>0</v>
          </cell>
          <cell r="BX81">
            <v>151791.54814687499</v>
          </cell>
          <cell r="BY81">
            <v>478143.37666265626</v>
          </cell>
          <cell r="BZ81">
            <v>669400.72732771875</v>
          </cell>
          <cell r="CA81">
            <v>702870.76369410474</v>
          </cell>
          <cell r="CB81">
            <v>738014.30187880993</v>
          </cell>
          <cell r="CC81">
            <v>774915.01697275054</v>
          </cell>
          <cell r="CD81">
            <v>813660.76782138797</v>
          </cell>
          <cell r="CE81">
            <v>854343.80621245736</v>
          </cell>
          <cell r="CF81">
            <v>897060.99652308028</v>
          </cell>
          <cell r="CG81">
            <v>941914.04634923441</v>
          </cell>
          <cell r="CH81">
            <v>989009.7486666959</v>
          </cell>
          <cell r="CI81">
            <v>1038460.2361000308</v>
          </cell>
          <cell r="CJ81">
            <v>1090383.2479050322</v>
          </cell>
          <cell r="CK81">
            <v>1144902.4103002842</v>
          </cell>
          <cell r="CL81">
            <v>1202147.5308152982</v>
          </cell>
          <cell r="CM81">
            <v>1262254.9073560634</v>
          </cell>
          <cell r="CN81">
            <v>1325367.6527238663</v>
          </cell>
          <cell r="CO81">
            <v>1391636.0353600597</v>
          </cell>
        </row>
        <row r="82">
          <cell r="A82" t="str">
            <v>HARDBT Efficiencies - Support of a Modern System</v>
          </cell>
          <cell r="B82" t="str">
            <v>BT Efficiencies - Support of a Modern System</v>
          </cell>
          <cell r="D82">
            <v>0</v>
          </cell>
          <cell r="E82">
            <v>0</v>
          </cell>
          <cell r="F82">
            <v>0</v>
          </cell>
          <cell r="G82">
            <v>105481.377421875</v>
          </cell>
          <cell r="H82">
            <v>332266.33887890627</v>
          </cell>
          <cell r="I82">
            <v>465172.87443046877</v>
          </cell>
          <cell r="J82">
            <v>488431.51815199223</v>
          </cell>
          <cell r="K82">
            <v>512853.09405959176</v>
          </cell>
          <cell r="L82">
            <v>538495.74876257149</v>
          </cell>
          <cell r="M82">
            <v>565420.53620069998</v>
          </cell>
          <cell r="N82">
            <v>593691.56301073497</v>
          </cell>
          <cell r="O82">
            <v>623376.14116127172</v>
          </cell>
          <cell r="P82">
            <v>654544.94821933541</v>
          </cell>
          <cell r="Q82">
            <v>687272.19563030207</v>
          </cell>
          <cell r="R82">
            <v>721635.80541181727</v>
          </cell>
          <cell r="S82">
            <v>757717.59568240796</v>
          </cell>
          <cell r="T82">
            <v>795603.47546652867</v>
          </cell>
          <cell r="U82">
            <v>835383.649239855</v>
          </cell>
          <cell r="V82">
            <v>877152.83170184784</v>
          </cell>
          <cell r="W82">
            <v>921010.47328694025</v>
          </cell>
          <cell r="X82">
            <v>967060.99695128726</v>
          </cell>
          <cell r="AA82">
            <v>0</v>
          </cell>
          <cell r="AB82">
            <v>0</v>
          </cell>
          <cell r="AC82">
            <v>0</v>
          </cell>
          <cell r="AD82">
            <v>84385.101937500003</v>
          </cell>
          <cell r="AE82">
            <v>265813.07110312505</v>
          </cell>
          <cell r="AF82">
            <v>372138.29954437504</v>
          </cell>
          <cell r="AG82">
            <v>390745.21452159382</v>
          </cell>
          <cell r="AH82">
            <v>410282.47524767346</v>
          </cell>
          <cell r="AI82">
            <v>430796.59901005722</v>
          </cell>
          <cell r="AJ82">
            <v>452336.42896056001</v>
          </cell>
          <cell r="AK82">
            <v>474953.25040858798</v>
          </cell>
          <cell r="AL82">
            <v>498700.91292901739</v>
          </cell>
          <cell r="AM82">
            <v>523635.95857546834</v>
          </cell>
          <cell r="AN82">
            <v>549817.75650424173</v>
          </cell>
          <cell r="AO82">
            <v>577308.64432945382</v>
          </cell>
          <cell r="AP82">
            <v>606174.07654592639</v>
          </cell>
          <cell r="AQ82">
            <v>636482.78037322301</v>
          </cell>
          <cell r="AR82">
            <v>668306.919391884</v>
          </cell>
          <cell r="AS82">
            <v>701722.26536147832</v>
          </cell>
          <cell r="AT82">
            <v>736808.3786295522</v>
          </cell>
          <cell r="AU82">
            <v>773648.7975610299</v>
          </cell>
          <cell r="AX82">
            <v>0</v>
          </cell>
          <cell r="AY82">
            <v>0</v>
          </cell>
          <cell r="AZ82">
            <v>0</v>
          </cell>
          <cell r="BA82">
            <v>94933.239679687511</v>
          </cell>
          <cell r="BB82">
            <v>299039.70499101566</v>
          </cell>
          <cell r="BC82">
            <v>418655.58698742191</v>
          </cell>
          <cell r="BD82">
            <v>439588.366336793</v>
          </cell>
          <cell r="BE82">
            <v>461567.78465363261</v>
          </cell>
          <cell r="BF82">
            <v>484646.17388631433</v>
          </cell>
          <cell r="BG82">
            <v>508878.48258062999</v>
          </cell>
          <cell r="BH82">
            <v>534322.40670966147</v>
          </cell>
          <cell r="BI82">
            <v>561038.52704514458</v>
          </cell>
          <cell r="BJ82">
            <v>589090.45339740184</v>
          </cell>
          <cell r="BK82">
            <v>618544.9760672719</v>
          </cell>
          <cell r="BL82">
            <v>649472.22487063555</v>
          </cell>
          <cell r="BM82">
            <v>681945.83611416724</v>
          </cell>
          <cell r="BN82">
            <v>716043.12791987578</v>
          </cell>
          <cell r="BO82">
            <v>751845.28431586956</v>
          </cell>
          <cell r="BP82">
            <v>789437.54853166302</v>
          </cell>
          <cell r="BQ82">
            <v>828909.42595824623</v>
          </cell>
          <cell r="BR82">
            <v>870354.89725615853</v>
          </cell>
          <cell r="BU82">
            <v>0</v>
          </cell>
          <cell r="BV82">
            <v>0</v>
          </cell>
          <cell r="BW82">
            <v>0</v>
          </cell>
          <cell r="BX82">
            <v>121303.58403515625</v>
          </cell>
          <cell r="BY82">
            <v>382106.28971074219</v>
          </cell>
          <cell r="BZ82">
            <v>534948.80559503904</v>
          </cell>
          <cell r="CA82">
            <v>561696.24587479106</v>
          </cell>
          <cell r="CB82">
            <v>589781.05816853046</v>
          </cell>
          <cell r="CC82">
            <v>619270.1110769572</v>
          </cell>
          <cell r="CD82">
            <v>650233.61663080496</v>
          </cell>
          <cell r="CE82">
            <v>682745.29746234522</v>
          </cell>
          <cell r="CF82">
            <v>716882.56233546243</v>
          </cell>
          <cell r="CG82">
            <v>752726.69045223563</v>
          </cell>
          <cell r="CH82">
            <v>790363.02497484733</v>
          </cell>
          <cell r="CI82">
            <v>829881.17622358981</v>
          </cell>
          <cell r="CJ82">
            <v>871375.23503476905</v>
          </cell>
          <cell r="CK82">
            <v>914943.99678650789</v>
          </cell>
          <cell r="CL82">
            <v>960691.19662583317</v>
          </cell>
          <cell r="CM82">
            <v>1008725.756457125</v>
          </cell>
          <cell r="CN82">
            <v>1059162.0442799812</v>
          </cell>
          <cell r="CO82">
            <v>1112120.1464939802</v>
          </cell>
        </row>
        <row r="83">
          <cell r="A83" t="str">
            <v>HARDBT Efficiencies - Span of Control</v>
          </cell>
          <cell r="B83" t="str">
            <v>BT Efficiencies - Span of Control</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U83">
            <v>0</v>
          </cell>
          <cell r="BV83">
            <v>0</v>
          </cell>
          <cell r="BW83">
            <v>0</v>
          </cell>
          <cell r="BX83">
            <v>0</v>
          </cell>
          <cell r="BY83">
            <v>0</v>
          </cell>
          <cell r="BZ83">
            <v>0</v>
          </cell>
          <cell r="CA83">
            <v>0</v>
          </cell>
          <cell r="CB83">
            <v>0</v>
          </cell>
          <cell r="CC83">
            <v>0</v>
          </cell>
          <cell r="CD83">
            <v>0</v>
          </cell>
          <cell r="CE83">
            <v>0</v>
          </cell>
          <cell r="CF83">
            <v>0</v>
          </cell>
          <cell r="CG83">
            <v>0</v>
          </cell>
          <cell r="CH83">
            <v>0</v>
          </cell>
          <cell r="CI83">
            <v>0</v>
          </cell>
          <cell r="CJ83">
            <v>0</v>
          </cell>
          <cell r="CK83">
            <v>0</v>
          </cell>
          <cell r="CL83">
            <v>0</v>
          </cell>
          <cell r="CM83">
            <v>0</v>
          </cell>
          <cell r="CN83">
            <v>0</v>
          </cell>
          <cell r="CO83">
            <v>0</v>
          </cell>
        </row>
        <row r="84">
          <cell r="A84" t="str">
            <v>HARDCO Efficiencies - Use of Single System</v>
          </cell>
          <cell r="B84" t="str">
            <v>CO Efficiencies - Use of Single System</v>
          </cell>
          <cell r="D84">
            <v>0</v>
          </cell>
          <cell r="E84">
            <v>0</v>
          </cell>
          <cell r="F84">
            <v>0</v>
          </cell>
          <cell r="G84">
            <v>167994.88728749999</v>
          </cell>
          <cell r="H84">
            <v>529183.89495562518</v>
          </cell>
          <cell r="I84">
            <v>740857.45293787506</v>
          </cell>
          <cell r="J84">
            <v>777900.3255847689</v>
          </cell>
          <cell r="K84">
            <v>816795.34186400718</v>
          </cell>
          <cell r="L84">
            <v>857635.10895720776</v>
          </cell>
          <cell r="M84">
            <v>900516.86440506799</v>
          </cell>
          <cell r="N84">
            <v>945542.70762532146</v>
          </cell>
          <cell r="O84">
            <v>992819.84300658747</v>
          </cell>
          <cell r="P84">
            <v>1042460.835156917</v>
          </cell>
          <cell r="Q84">
            <v>1094583.8769147627</v>
          </cell>
          <cell r="R84">
            <v>1149313.0707605011</v>
          </cell>
          <cell r="S84">
            <v>1206778.7242985258</v>
          </cell>
          <cell r="T84">
            <v>1267117.6605134525</v>
          </cell>
          <cell r="U84">
            <v>1330473.543539125</v>
          </cell>
          <cell r="V84">
            <v>1396997.2207160813</v>
          </cell>
          <cell r="W84">
            <v>1466847.0817518854</v>
          </cell>
          <cell r="X84">
            <v>1540189.4358394798</v>
          </cell>
          <cell r="AA84">
            <v>0</v>
          </cell>
          <cell r="AB84">
            <v>0</v>
          </cell>
          <cell r="AC84">
            <v>0</v>
          </cell>
          <cell r="AD84">
            <v>134395.90982999999</v>
          </cell>
          <cell r="AE84">
            <v>423347.11596450018</v>
          </cell>
          <cell r="AF84">
            <v>592685.96235030005</v>
          </cell>
          <cell r="AG84">
            <v>622320.2604678151</v>
          </cell>
          <cell r="AH84">
            <v>653436.27349120576</v>
          </cell>
          <cell r="AI84">
            <v>686108.08716576628</v>
          </cell>
          <cell r="AJ84">
            <v>720413.49152405444</v>
          </cell>
          <cell r="AK84">
            <v>756434.16610025719</v>
          </cell>
          <cell r="AL84">
            <v>794255.87440526998</v>
          </cell>
          <cell r="AM84">
            <v>833968.66812553362</v>
          </cell>
          <cell r="AN84">
            <v>875667.10153181013</v>
          </cell>
          <cell r="AO84">
            <v>919450.45660840091</v>
          </cell>
          <cell r="AP84">
            <v>965422.97943882074</v>
          </cell>
          <cell r="AQ84">
            <v>1013694.1284107621</v>
          </cell>
          <cell r="AR84">
            <v>1064378.8348313</v>
          </cell>
          <cell r="AS84">
            <v>1117597.7765728652</v>
          </cell>
          <cell r="AT84">
            <v>1173477.6654015083</v>
          </cell>
          <cell r="AU84">
            <v>1232151.5486715839</v>
          </cell>
          <cell r="AX84">
            <v>0</v>
          </cell>
          <cell r="AY84">
            <v>0</v>
          </cell>
          <cell r="AZ84">
            <v>0</v>
          </cell>
          <cell r="BA84">
            <v>151195.39855874999</v>
          </cell>
          <cell r="BB84">
            <v>476265.50546006265</v>
          </cell>
          <cell r="BC84">
            <v>666771.70764408761</v>
          </cell>
          <cell r="BD84">
            <v>700110.293026292</v>
          </cell>
          <cell r="BE84">
            <v>735115.80767760647</v>
          </cell>
          <cell r="BF84">
            <v>771871.59806148696</v>
          </cell>
          <cell r="BG84">
            <v>810465.17796456115</v>
          </cell>
          <cell r="BH84">
            <v>850988.43686278933</v>
          </cell>
          <cell r="BI84">
            <v>893537.85870592878</v>
          </cell>
          <cell r="BJ84">
            <v>938214.7516412253</v>
          </cell>
          <cell r="BK84">
            <v>985125.48922328639</v>
          </cell>
          <cell r="BL84">
            <v>1034381.763684451</v>
          </cell>
          <cell r="BM84">
            <v>1086100.8518686732</v>
          </cell>
          <cell r="BN84">
            <v>1140405.8944621072</v>
          </cell>
          <cell r="BO84">
            <v>1197426.1891852126</v>
          </cell>
          <cell r="BP84">
            <v>1257297.4986444733</v>
          </cell>
          <cell r="BQ84">
            <v>1320162.373576697</v>
          </cell>
          <cell r="BR84">
            <v>1386170.4922555319</v>
          </cell>
          <cell r="BU84">
            <v>0</v>
          </cell>
          <cell r="BV84">
            <v>0</v>
          </cell>
          <cell r="BW84">
            <v>0</v>
          </cell>
          <cell r="BX84">
            <v>193194.12038062498</v>
          </cell>
          <cell r="BY84">
            <v>608561.47919896885</v>
          </cell>
          <cell r="BZ84">
            <v>851986.07087855623</v>
          </cell>
          <cell r="CA84">
            <v>894585.37442248419</v>
          </cell>
          <cell r="CB84">
            <v>939314.64314360823</v>
          </cell>
          <cell r="CC84">
            <v>986280.3753007889</v>
          </cell>
          <cell r="CD84">
            <v>1035594.3940658281</v>
          </cell>
          <cell r="CE84">
            <v>1087374.1137691196</v>
          </cell>
          <cell r="CF84">
            <v>1141742.8194575754</v>
          </cell>
          <cell r="CG84">
            <v>1198829.9604304545</v>
          </cell>
          <cell r="CH84">
            <v>1258771.458451977</v>
          </cell>
          <cell r="CI84">
            <v>1321710.031374576</v>
          </cell>
          <cell r="CJ84">
            <v>1387795.5329433046</v>
          </cell>
          <cell r="CK84">
            <v>1457185.3095904703</v>
          </cell>
          <cell r="CL84">
            <v>1530044.5750699937</v>
          </cell>
          <cell r="CM84">
            <v>1606546.8038234934</v>
          </cell>
          <cell r="CN84">
            <v>1686874.144014668</v>
          </cell>
          <cell r="CO84">
            <v>1771217.8512154017</v>
          </cell>
        </row>
        <row r="85">
          <cell r="A85" t="str">
            <v>HARDCO Efficiencies - Improved Automation</v>
          </cell>
          <cell r="B85" t="str">
            <v>CO Efficiencies - Improved Automation</v>
          </cell>
          <cell r="D85">
            <v>0</v>
          </cell>
          <cell r="E85">
            <v>0</v>
          </cell>
          <cell r="F85">
            <v>0</v>
          </cell>
          <cell r="G85">
            <v>293714.13810375007</v>
          </cell>
          <cell r="H85">
            <v>925199.53502681258</v>
          </cell>
          <cell r="I85">
            <v>1295279.3490375378</v>
          </cell>
          <cell r="J85">
            <v>1360043.316489415</v>
          </cell>
          <cell r="K85">
            <v>1428045.4823138856</v>
          </cell>
          <cell r="L85">
            <v>1499447.75642958</v>
          </cell>
          <cell r="M85">
            <v>1574420.1442510588</v>
          </cell>
          <cell r="N85">
            <v>1653141.151463612</v>
          </cell>
          <cell r="O85">
            <v>1735798.2090367924</v>
          </cell>
          <cell r="P85">
            <v>1822588.1194886323</v>
          </cell>
          <cell r="Q85">
            <v>1913717.5254630635</v>
          </cell>
          <cell r="R85">
            <v>2009403.4017362171</v>
          </cell>
          <cell r="S85">
            <v>2109873.5718230275</v>
          </cell>
          <cell r="T85">
            <v>2215367.2504141796</v>
          </cell>
          <cell r="U85">
            <v>2326135.6129348883</v>
          </cell>
          <cell r="V85">
            <v>2442442.393581633</v>
          </cell>
          <cell r="W85">
            <v>2564564.5132607147</v>
          </cell>
          <cell r="X85">
            <v>2692792.7389237504</v>
          </cell>
          <cell r="AA85">
            <v>0</v>
          </cell>
          <cell r="AB85">
            <v>0</v>
          </cell>
          <cell r="AC85">
            <v>0</v>
          </cell>
          <cell r="AD85">
            <v>234971.31048300007</v>
          </cell>
          <cell r="AE85">
            <v>740159.62802145013</v>
          </cell>
          <cell r="AF85">
            <v>1036223.4792300303</v>
          </cell>
          <cell r="AG85">
            <v>1088034.653191532</v>
          </cell>
          <cell r="AH85">
            <v>1142436.3858511085</v>
          </cell>
          <cell r="AI85">
            <v>1199558.205143664</v>
          </cell>
          <cell r="AJ85">
            <v>1259536.115400847</v>
          </cell>
          <cell r="AK85">
            <v>1322512.9211708896</v>
          </cell>
          <cell r="AL85">
            <v>1388638.5672294339</v>
          </cell>
          <cell r="AM85">
            <v>1458070.4955909059</v>
          </cell>
          <cell r="AN85">
            <v>1530974.0203704508</v>
          </cell>
          <cell r="AO85">
            <v>1607522.7213889738</v>
          </cell>
          <cell r="AP85">
            <v>1687898.857458422</v>
          </cell>
          <cell r="AQ85">
            <v>1772293.8003313439</v>
          </cell>
          <cell r="AR85">
            <v>1860908.4903479107</v>
          </cell>
          <cell r="AS85">
            <v>1953953.9148653066</v>
          </cell>
          <cell r="AT85">
            <v>2051651.6106085719</v>
          </cell>
          <cell r="AU85">
            <v>2154234.1911390005</v>
          </cell>
          <cell r="AX85">
            <v>0</v>
          </cell>
          <cell r="AY85">
            <v>0</v>
          </cell>
          <cell r="AZ85">
            <v>0</v>
          </cell>
          <cell r="BA85">
            <v>264342.7242933751</v>
          </cell>
          <cell r="BB85">
            <v>832679.58152413135</v>
          </cell>
          <cell r="BC85">
            <v>1165751.4141337841</v>
          </cell>
          <cell r="BD85">
            <v>1224038.9848404736</v>
          </cell>
          <cell r="BE85">
            <v>1285240.9340824971</v>
          </cell>
          <cell r="BF85">
            <v>1349502.980786622</v>
          </cell>
          <cell r="BG85">
            <v>1416978.1298259529</v>
          </cell>
          <cell r="BH85">
            <v>1487827.0363172509</v>
          </cell>
          <cell r="BI85">
            <v>1562218.3881331133</v>
          </cell>
          <cell r="BJ85">
            <v>1640329.3075397692</v>
          </cell>
          <cell r="BK85">
            <v>1722345.7729167573</v>
          </cell>
          <cell r="BL85">
            <v>1808463.0615625954</v>
          </cell>
          <cell r="BM85">
            <v>1898886.2146407247</v>
          </cell>
          <cell r="BN85">
            <v>1993830.5253727618</v>
          </cell>
          <cell r="BO85">
            <v>2093522.0516413995</v>
          </cell>
          <cell r="BP85">
            <v>2198198.1542234696</v>
          </cell>
          <cell r="BQ85">
            <v>2308108.0619346434</v>
          </cell>
          <cell r="BR85">
            <v>2423513.4650313752</v>
          </cell>
          <cell r="BU85">
            <v>0</v>
          </cell>
          <cell r="BV85">
            <v>0</v>
          </cell>
          <cell r="BW85">
            <v>0</v>
          </cell>
          <cell r="BX85">
            <v>337771.25881931256</v>
          </cell>
          <cell r="BY85">
            <v>1063979.4652808344</v>
          </cell>
          <cell r="BZ85">
            <v>1489571.2513931685</v>
          </cell>
          <cell r="CA85">
            <v>1564049.8139628272</v>
          </cell>
          <cell r="CB85">
            <v>1642252.3046609682</v>
          </cell>
          <cell r="CC85">
            <v>1724364.9198940168</v>
          </cell>
          <cell r="CD85">
            <v>1810583.1658887174</v>
          </cell>
          <cell r="CE85">
            <v>1901112.3241831537</v>
          </cell>
          <cell r="CF85">
            <v>1996167.9403923112</v>
          </cell>
          <cell r="CG85">
            <v>2095976.3374119271</v>
          </cell>
          <cell r="CH85">
            <v>2200775.1542825229</v>
          </cell>
          <cell r="CI85">
            <v>2310813.9119966496</v>
          </cell>
          <cell r="CJ85">
            <v>2426354.6075964812</v>
          </cell>
          <cell r="CK85">
            <v>2547672.3379763062</v>
          </cell>
          <cell r="CL85">
            <v>2675055.9548751214</v>
          </cell>
          <cell r="CM85">
            <v>2808808.7526188777</v>
          </cell>
          <cell r="CN85">
            <v>2949249.1902498216</v>
          </cell>
          <cell r="CO85">
            <v>3096711.6497623129</v>
          </cell>
        </row>
        <row r="86">
          <cell r="A86" t="str">
            <v>HARDCO Efficiencies - Improved Customer Service Interface</v>
          </cell>
          <cell r="B86" t="str">
            <v>CO Efficiencies - Improved Customer Service Interface</v>
          </cell>
          <cell r="D86">
            <v>0</v>
          </cell>
          <cell r="E86">
            <v>0</v>
          </cell>
          <cell r="F86">
            <v>0</v>
          </cell>
          <cell r="G86">
            <v>39691.099743750012</v>
          </cell>
          <cell r="H86">
            <v>125026.96419281253</v>
          </cell>
          <cell r="I86">
            <v>175037.74986993757</v>
          </cell>
          <cell r="J86">
            <v>183789.63736343445</v>
          </cell>
          <cell r="K86">
            <v>192979.11923160616</v>
          </cell>
          <cell r="L86">
            <v>202628.07519318649</v>
          </cell>
          <cell r="M86">
            <v>212759.47895284579</v>
          </cell>
          <cell r="N86">
            <v>223397.4529004881</v>
          </cell>
          <cell r="O86">
            <v>234567.32554551252</v>
          </cell>
          <cell r="P86">
            <v>246295.69182278815</v>
          </cell>
          <cell r="Q86">
            <v>258610.47641392751</v>
          </cell>
          <cell r="R86">
            <v>271541.00023462396</v>
          </cell>
          <cell r="S86">
            <v>285118.05024635507</v>
          </cell>
          <cell r="T86">
            <v>299373.95275867294</v>
          </cell>
          <cell r="U86">
            <v>314342.65039660654</v>
          </cell>
          <cell r="V86">
            <v>330059.7829164369</v>
          </cell>
          <cell r="W86">
            <v>346562.77206225874</v>
          </cell>
          <cell r="X86">
            <v>363890.91066537169</v>
          </cell>
          <cell r="AA86">
            <v>0</v>
          </cell>
          <cell r="AB86">
            <v>0</v>
          </cell>
          <cell r="AC86">
            <v>0</v>
          </cell>
          <cell r="AD86">
            <v>31752.879795000012</v>
          </cell>
          <cell r="AE86">
            <v>100021.57135425003</v>
          </cell>
          <cell r="AF86">
            <v>140030.19989595006</v>
          </cell>
          <cell r="AG86">
            <v>147031.70989074756</v>
          </cell>
          <cell r="AH86">
            <v>154383.29538528493</v>
          </cell>
          <cell r="AI86">
            <v>162102.46015454922</v>
          </cell>
          <cell r="AJ86">
            <v>170207.58316227666</v>
          </cell>
          <cell r="AK86">
            <v>178717.96232039051</v>
          </cell>
          <cell r="AL86">
            <v>187653.86043641003</v>
          </cell>
          <cell r="AM86">
            <v>197036.55345823054</v>
          </cell>
          <cell r="AN86">
            <v>206888.38113114203</v>
          </cell>
          <cell r="AO86">
            <v>217232.80018769918</v>
          </cell>
          <cell r="AP86">
            <v>228094.44019708407</v>
          </cell>
          <cell r="AQ86">
            <v>239499.16220693837</v>
          </cell>
          <cell r="AR86">
            <v>251474.12031728524</v>
          </cell>
          <cell r="AS86">
            <v>264047.82633314951</v>
          </cell>
          <cell r="AT86">
            <v>277250.21764980699</v>
          </cell>
          <cell r="AU86">
            <v>291112.72853229736</v>
          </cell>
          <cell r="AX86">
            <v>0</v>
          </cell>
          <cell r="AY86">
            <v>0</v>
          </cell>
          <cell r="AZ86">
            <v>0</v>
          </cell>
          <cell r="BA86">
            <v>35721.98976937501</v>
          </cell>
          <cell r="BB86">
            <v>112524.26777353129</v>
          </cell>
          <cell r="BC86">
            <v>157533.97488294382</v>
          </cell>
          <cell r="BD86">
            <v>165410.67362709102</v>
          </cell>
          <cell r="BE86">
            <v>173681.20730844556</v>
          </cell>
          <cell r="BF86">
            <v>182365.26767386784</v>
          </cell>
          <cell r="BG86">
            <v>191483.53105756122</v>
          </cell>
          <cell r="BH86">
            <v>201057.70761043931</v>
          </cell>
          <cell r="BI86">
            <v>211110.59299096128</v>
          </cell>
          <cell r="BJ86">
            <v>221666.12264050933</v>
          </cell>
          <cell r="BK86">
            <v>232749.42877253477</v>
          </cell>
          <cell r="BL86">
            <v>244386.90021116158</v>
          </cell>
          <cell r="BM86">
            <v>256606.24522171955</v>
          </cell>
          <cell r="BN86">
            <v>269436.55748280563</v>
          </cell>
          <cell r="BO86">
            <v>282908.38535694592</v>
          </cell>
          <cell r="BP86">
            <v>297053.80462479324</v>
          </cell>
          <cell r="BQ86">
            <v>311906.49485603289</v>
          </cell>
          <cell r="BR86">
            <v>327501.81959883455</v>
          </cell>
          <cell r="BU86">
            <v>0</v>
          </cell>
          <cell r="BV86">
            <v>0</v>
          </cell>
          <cell r="BW86">
            <v>0</v>
          </cell>
          <cell r="BX86">
            <v>45644.764705312511</v>
          </cell>
          <cell r="BY86">
            <v>143781.0088217344</v>
          </cell>
          <cell r="BZ86">
            <v>201293.4123504282</v>
          </cell>
          <cell r="CA86">
            <v>211358.08296794959</v>
          </cell>
          <cell r="CB86">
            <v>221925.98711634707</v>
          </cell>
          <cell r="CC86">
            <v>233022.28647216444</v>
          </cell>
          <cell r="CD86">
            <v>244673.40079577264</v>
          </cell>
          <cell r="CE86">
            <v>256907.07083556129</v>
          </cell>
          <cell r="CF86">
            <v>269752.42437733937</v>
          </cell>
          <cell r="CG86">
            <v>283240.04559620633</v>
          </cell>
          <cell r="CH86">
            <v>297402.04787601659</v>
          </cell>
          <cell r="CI86">
            <v>312272.15026981756</v>
          </cell>
          <cell r="CJ86">
            <v>327885.75778330828</v>
          </cell>
          <cell r="CK86">
            <v>344280.04567247385</v>
          </cell>
          <cell r="CL86">
            <v>361494.04795609746</v>
          </cell>
          <cell r="CM86">
            <v>379568.7503539024</v>
          </cell>
          <cell r="CN86">
            <v>398547.18787159753</v>
          </cell>
          <cell r="CO86">
            <v>418474.54726517742</v>
          </cell>
        </row>
        <row r="87">
          <cell r="A87" t="str">
            <v>HARDCO Efficiencies - Claims Functionality</v>
          </cell>
          <cell r="B87" t="str">
            <v>CO Efficiencies - Claims Functionality</v>
          </cell>
          <cell r="D87">
            <v>0</v>
          </cell>
          <cell r="E87">
            <v>0</v>
          </cell>
          <cell r="F87">
            <v>0</v>
          </cell>
          <cell r="G87">
            <v>83074.394812500002</v>
          </cell>
          <cell r="H87">
            <v>261684.34365937507</v>
          </cell>
          <cell r="I87">
            <v>366358.08112312504</v>
          </cell>
          <cell r="J87">
            <v>384675.98517928133</v>
          </cell>
          <cell r="K87">
            <v>403909.78443824535</v>
          </cell>
          <cell r="L87">
            <v>424105.27366015769</v>
          </cell>
          <cell r="M87">
            <v>445310.53734316549</v>
          </cell>
          <cell r="N87">
            <v>467576.06421032379</v>
          </cell>
          <cell r="O87">
            <v>490954.86742083996</v>
          </cell>
          <cell r="P87">
            <v>515502.61079188203</v>
          </cell>
          <cell r="Q87">
            <v>541277.74133147602</v>
          </cell>
          <cell r="R87">
            <v>568341.62839804997</v>
          </cell>
          <cell r="S87">
            <v>596758.70981795236</v>
          </cell>
          <cell r="T87">
            <v>626596.6453088501</v>
          </cell>
          <cell r="U87">
            <v>657926.47757429257</v>
          </cell>
          <cell r="V87">
            <v>690822.80145300727</v>
          </cell>
          <cell r="W87">
            <v>725363.94152565766</v>
          </cell>
          <cell r="X87">
            <v>761632.13860194047</v>
          </cell>
          <cell r="AA87">
            <v>0</v>
          </cell>
          <cell r="AB87">
            <v>0</v>
          </cell>
          <cell r="AC87">
            <v>0</v>
          </cell>
          <cell r="AD87">
            <v>66459.515850000011</v>
          </cell>
          <cell r="AE87">
            <v>209347.47492750006</v>
          </cell>
          <cell r="AF87">
            <v>293086.46489850007</v>
          </cell>
          <cell r="AG87">
            <v>307740.78814342507</v>
          </cell>
          <cell r="AH87">
            <v>323127.82755059632</v>
          </cell>
          <cell r="AI87">
            <v>339284.21892812615</v>
          </cell>
          <cell r="AJ87">
            <v>356248.42987453239</v>
          </cell>
          <cell r="AK87">
            <v>374060.85136825906</v>
          </cell>
          <cell r="AL87">
            <v>392763.89393667202</v>
          </cell>
          <cell r="AM87">
            <v>412402.08863350563</v>
          </cell>
          <cell r="AN87">
            <v>433022.19306518085</v>
          </cell>
          <cell r="AO87">
            <v>454673.30271844001</v>
          </cell>
          <cell r="AP87">
            <v>477406.96785436192</v>
          </cell>
          <cell r="AQ87">
            <v>501277.3162470801</v>
          </cell>
          <cell r="AR87">
            <v>526341.18205943413</v>
          </cell>
          <cell r="AS87">
            <v>552658.24116240581</v>
          </cell>
          <cell r="AT87">
            <v>580291.15322052618</v>
          </cell>
          <cell r="AU87">
            <v>609305.71088155243</v>
          </cell>
          <cell r="AX87">
            <v>0</v>
          </cell>
          <cell r="AY87">
            <v>0</v>
          </cell>
          <cell r="AZ87">
            <v>0</v>
          </cell>
          <cell r="BA87">
            <v>74766.955331250007</v>
          </cell>
          <cell r="BB87">
            <v>235515.90929343755</v>
          </cell>
          <cell r="BC87">
            <v>329722.27301081253</v>
          </cell>
          <cell r="BD87">
            <v>346208.38666135323</v>
          </cell>
          <cell r="BE87">
            <v>363518.80599442084</v>
          </cell>
          <cell r="BF87">
            <v>381694.74629414192</v>
          </cell>
          <cell r="BG87">
            <v>400779.48360884894</v>
          </cell>
          <cell r="BH87">
            <v>420818.45778929139</v>
          </cell>
          <cell r="BI87">
            <v>441859.38067875599</v>
          </cell>
          <cell r="BJ87">
            <v>463952.34971269383</v>
          </cell>
          <cell r="BK87">
            <v>487149.96719832841</v>
          </cell>
          <cell r="BL87">
            <v>511507.46555824496</v>
          </cell>
          <cell r="BM87">
            <v>537082.83883615711</v>
          </cell>
          <cell r="BN87">
            <v>563936.98077796516</v>
          </cell>
          <cell r="BO87">
            <v>592133.82981686329</v>
          </cell>
          <cell r="BP87">
            <v>621740.5213077066</v>
          </cell>
          <cell r="BQ87">
            <v>652827.54737309192</v>
          </cell>
          <cell r="BR87">
            <v>685468.92474174639</v>
          </cell>
          <cell r="BU87">
            <v>0</v>
          </cell>
          <cell r="BV87">
            <v>0</v>
          </cell>
          <cell r="BW87">
            <v>0</v>
          </cell>
          <cell r="BX87">
            <v>95535.554034374989</v>
          </cell>
          <cell r="BY87">
            <v>300936.99520828133</v>
          </cell>
          <cell r="BZ87">
            <v>421311.79329159379</v>
          </cell>
          <cell r="CA87">
            <v>442377.3829561735</v>
          </cell>
          <cell r="CB87">
            <v>464496.25210398209</v>
          </cell>
          <cell r="CC87">
            <v>487721.06470918132</v>
          </cell>
          <cell r="CD87">
            <v>512107.11794464028</v>
          </cell>
          <cell r="CE87">
            <v>537712.4738418723</v>
          </cell>
          <cell r="CF87">
            <v>564598.09753396595</v>
          </cell>
          <cell r="CG87">
            <v>592828.00241066434</v>
          </cell>
          <cell r="CH87">
            <v>622469.40253119741</v>
          </cell>
          <cell r="CI87">
            <v>653592.87265775737</v>
          </cell>
          <cell r="CJ87">
            <v>686272.51629064512</v>
          </cell>
          <cell r="CK87">
            <v>720586.14210517751</v>
          </cell>
          <cell r="CL87">
            <v>756615.44921043643</v>
          </cell>
          <cell r="CM87">
            <v>794446.22167095833</v>
          </cell>
          <cell r="CN87">
            <v>834168.53275450622</v>
          </cell>
          <cell r="CO87">
            <v>875876.95939223142</v>
          </cell>
        </row>
        <row r="88">
          <cell r="A88" t="str">
            <v>HARDCO Efficiencies - Output Automation</v>
          </cell>
          <cell r="B88" t="str">
            <v>CO Efficiencies - Output Automation</v>
          </cell>
          <cell r="D88">
            <v>0</v>
          </cell>
          <cell r="E88">
            <v>0</v>
          </cell>
          <cell r="F88">
            <v>0</v>
          </cell>
          <cell r="G88">
            <v>152303.05715625</v>
          </cell>
          <cell r="H88">
            <v>479754.63004218758</v>
          </cell>
          <cell r="I88">
            <v>671656.48205906246</v>
          </cell>
          <cell r="J88">
            <v>705239.30616201565</v>
          </cell>
          <cell r="K88">
            <v>740501.27147011633</v>
          </cell>
          <cell r="L88">
            <v>777526.3350436223</v>
          </cell>
          <cell r="M88">
            <v>816402.65179580334</v>
          </cell>
          <cell r="N88">
            <v>857222.78438559349</v>
          </cell>
          <cell r="O88">
            <v>900083.92360487324</v>
          </cell>
          <cell r="P88">
            <v>945088.11978511687</v>
          </cell>
          <cell r="Q88">
            <v>992342.52577437263</v>
          </cell>
          <cell r="R88">
            <v>1041959.6520630914</v>
          </cell>
          <cell r="S88">
            <v>1094057.6346662457</v>
          </cell>
          <cell r="T88">
            <v>1148760.5163995584</v>
          </cell>
          <cell r="U88">
            <v>1206198.5422195361</v>
          </cell>
          <cell r="V88">
            <v>1266508.4693305132</v>
          </cell>
          <cell r="W88">
            <v>1329833.8927970389</v>
          </cell>
          <cell r="X88">
            <v>1396325.5874368907</v>
          </cell>
          <cell r="AA88">
            <v>0</v>
          </cell>
          <cell r="AB88">
            <v>0</v>
          </cell>
          <cell r="AC88">
            <v>0</v>
          </cell>
          <cell r="AD88">
            <v>121842.445725</v>
          </cell>
          <cell r="AE88">
            <v>383803.70403375011</v>
          </cell>
          <cell r="AF88">
            <v>537325.18564725004</v>
          </cell>
          <cell r="AG88">
            <v>564191.44492961257</v>
          </cell>
          <cell r="AH88">
            <v>592401.01717609307</v>
          </cell>
          <cell r="AI88">
            <v>622021.06803489791</v>
          </cell>
          <cell r="AJ88">
            <v>653122.12143664272</v>
          </cell>
          <cell r="AK88">
            <v>685778.22750847484</v>
          </cell>
          <cell r="AL88">
            <v>720067.13888389862</v>
          </cell>
          <cell r="AM88">
            <v>756070.4958280935</v>
          </cell>
          <cell r="AN88">
            <v>793874.0206194981</v>
          </cell>
          <cell r="AO88">
            <v>833567.72165047319</v>
          </cell>
          <cell r="AP88">
            <v>875246.10773299658</v>
          </cell>
          <cell r="AQ88">
            <v>919008.41311964672</v>
          </cell>
          <cell r="AR88">
            <v>964958.83377562894</v>
          </cell>
          <cell r="AS88">
            <v>1013206.7754644105</v>
          </cell>
          <cell r="AT88">
            <v>1063867.1142376312</v>
          </cell>
          <cell r="AU88">
            <v>1117060.4699495125</v>
          </cell>
          <cell r="AX88">
            <v>0</v>
          </cell>
          <cell r="AY88">
            <v>0</v>
          </cell>
          <cell r="AZ88">
            <v>0</v>
          </cell>
          <cell r="BA88">
            <v>137072.751440625</v>
          </cell>
          <cell r="BB88">
            <v>431779.16703796881</v>
          </cell>
          <cell r="BC88">
            <v>604490.83385315619</v>
          </cell>
          <cell r="BD88">
            <v>634715.37554581405</v>
          </cell>
          <cell r="BE88">
            <v>666451.14432310476</v>
          </cell>
          <cell r="BF88">
            <v>699773.7015392601</v>
          </cell>
          <cell r="BG88">
            <v>734762.38661622303</v>
          </cell>
          <cell r="BH88">
            <v>771500.50594703411</v>
          </cell>
          <cell r="BI88">
            <v>810075.53124438599</v>
          </cell>
          <cell r="BJ88">
            <v>850579.30780660524</v>
          </cell>
          <cell r="BK88">
            <v>893108.27319693542</v>
          </cell>
          <cell r="BL88">
            <v>937763.6868567823</v>
          </cell>
          <cell r="BM88">
            <v>984651.87119962112</v>
          </cell>
          <cell r="BN88">
            <v>1033884.4647596026</v>
          </cell>
          <cell r="BO88">
            <v>1085578.6879975826</v>
          </cell>
          <cell r="BP88">
            <v>1139857.6223974619</v>
          </cell>
          <cell r="BQ88">
            <v>1196850.503517335</v>
          </cell>
          <cell r="BR88">
            <v>1256693.0286932017</v>
          </cell>
          <cell r="BU88">
            <v>0</v>
          </cell>
          <cell r="BV88">
            <v>0</v>
          </cell>
          <cell r="BW88">
            <v>0</v>
          </cell>
          <cell r="BX88">
            <v>175148.5157296875</v>
          </cell>
          <cell r="BY88">
            <v>551717.82454851572</v>
          </cell>
          <cell r="BZ88">
            <v>772404.9543679218</v>
          </cell>
          <cell r="CA88">
            <v>811025.20208631794</v>
          </cell>
          <cell r="CB88">
            <v>851576.46219063376</v>
          </cell>
          <cell r="CC88">
            <v>894155.28530016553</v>
          </cell>
          <cell r="CD88">
            <v>938863.0495651738</v>
          </cell>
          <cell r="CE88">
            <v>985806.20204343239</v>
          </cell>
          <cell r="CF88">
            <v>1035096.5121456041</v>
          </cell>
          <cell r="CG88">
            <v>1086851.3377528843</v>
          </cell>
          <cell r="CH88">
            <v>1141193.9046405284</v>
          </cell>
          <cell r="CI88">
            <v>1198253.5998725551</v>
          </cell>
          <cell r="CJ88">
            <v>1258166.2798661825</v>
          </cell>
          <cell r="CK88">
            <v>1321074.5938594921</v>
          </cell>
          <cell r="CL88">
            <v>1387128.3235524665</v>
          </cell>
          <cell r="CM88">
            <v>1456484.7397300899</v>
          </cell>
          <cell r="CN88">
            <v>1529308.9767165945</v>
          </cell>
          <cell r="CO88">
            <v>1605774.4255524243</v>
          </cell>
        </row>
        <row r="89">
          <cell r="A89" t="str">
            <v>HARDCO Efficiencies - Additional Payment Methods</v>
          </cell>
          <cell r="B89" t="str">
            <v>CO Efficiencies - Additional Payment Methods</v>
          </cell>
          <cell r="D89">
            <v>0</v>
          </cell>
          <cell r="E89">
            <v>0</v>
          </cell>
          <cell r="F89">
            <v>0</v>
          </cell>
          <cell r="G89">
            <v>56305.978706250011</v>
          </cell>
          <cell r="H89">
            <v>177363.83292468754</v>
          </cell>
          <cell r="I89">
            <v>248309.36609456255</v>
          </cell>
          <cell r="J89">
            <v>260724.8343992907</v>
          </cell>
          <cell r="K89">
            <v>273761.07611925522</v>
          </cell>
          <cell r="L89">
            <v>287449.129925218</v>
          </cell>
          <cell r="M89">
            <v>301821.58642147889</v>
          </cell>
          <cell r="N89">
            <v>316912.66574255284</v>
          </cell>
          <cell r="O89">
            <v>332758.29902968049</v>
          </cell>
          <cell r="P89">
            <v>349396.21398116456</v>
          </cell>
          <cell r="Q89">
            <v>366866.02468022273</v>
          </cell>
          <cell r="R89">
            <v>385209.32591423392</v>
          </cell>
          <cell r="S89">
            <v>404469.7922099455</v>
          </cell>
          <cell r="T89">
            <v>424693.28182044293</v>
          </cell>
          <cell r="U89">
            <v>445927.94591146504</v>
          </cell>
          <cell r="V89">
            <v>468224.34320703836</v>
          </cell>
          <cell r="W89">
            <v>491635.56036739022</v>
          </cell>
          <cell r="X89">
            <v>516217.33838575979</v>
          </cell>
          <cell r="AA89">
            <v>0</v>
          </cell>
          <cell r="AB89">
            <v>0</v>
          </cell>
          <cell r="AC89">
            <v>0</v>
          </cell>
          <cell r="AD89">
            <v>45044.782965000013</v>
          </cell>
          <cell r="AE89">
            <v>141891.06633975005</v>
          </cell>
          <cell r="AF89">
            <v>198647.49287565006</v>
          </cell>
          <cell r="AG89">
            <v>208579.86751943256</v>
          </cell>
          <cell r="AH89">
            <v>219008.86089540418</v>
          </cell>
          <cell r="AI89">
            <v>229959.3039401744</v>
          </cell>
          <cell r="AJ89">
            <v>241457.26913718312</v>
          </cell>
          <cell r="AK89">
            <v>253530.13259404228</v>
          </cell>
          <cell r="AL89">
            <v>266206.63922374439</v>
          </cell>
          <cell r="AM89">
            <v>279516.97118493164</v>
          </cell>
          <cell r="AN89">
            <v>293492.81974417821</v>
          </cell>
          <cell r="AO89">
            <v>308167.46073138714</v>
          </cell>
          <cell r="AP89">
            <v>323575.83376795641</v>
          </cell>
          <cell r="AQ89">
            <v>339754.62545635435</v>
          </cell>
          <cell r="AR89">
            <v>356742.35672917205</v>
          </cell>
          <cell r="AS89">
            <v>374579.47456563072</v>
          </cell>
          <cell r="AT89">
            <v>393308.44829391222</v>
          </cell>
          <cell r="AU89">
            <v>412973.87070860784</v>
          </cell>
          <cell r="AX89">
            <v>0</v>
          </cell>
          <cell r="AY89">
            <v>0</v>
          </cell>
          <cell r="AZ89">
            <v>0</v>
          </cell>
          <cell r="BA89">
            <v>50675.380835625008</v>
          </cell>
          <cell r="BB89">
            <v>159627.44963221878</v>
          </cell>
          <cell r="BC89">
            <v>223478.42948510629</v>
          </cell>
          <cell r="BD89">
            <v>234652.35095936165</v>
          </cell>
          <cell r="BE89">
            <v>246384.9685073297</v>
          </cell>
          <cell r="BF89">
            <v>258704.2169326962</v>
          </cell>
          <cell r="BG89">
            <v>271639.42777933099</v>
          </cell>
          <cell r="BH89">
            <v>285221.39916829759</v>
          </cell>
          <cell r="BI89">
            <v>299482.46912671247</v>
          </cell>
          <cell r="BJ89">
            <v>314456.5925830481</v>
          </cell>
          <cell r="BK89">
            <v>330179.42221220047</v>
          </cell>
          <cell r="BL89">
            <v>346688.39332281053</v>
          </cell>
          <cell r="BM89">
            <v>364022.81298895099</v>
          </cell>
          <cell r="BN89">
            <v>382223.95363839867</v>
          </cell>
          <cell r="BO89">
            <v>401335.15132031852</v>
          </cell>
          <cell r="BP89">
            <v>421401.90888633451</v>
          </cell>
          <cell r="BQ89">
            <v>442472.00433065119</v>
          </cell>
          <cell r="BR89">
            <v>464595.60454718384</v>
          </cell>
          <cell r="BU89">
            <v>0</v>
          </cell>
          <cell r="BV89">
            <v>0</v>
          </cell>
          <cell r="BW89">
            <v>0</v>
          </cell>
          <cell r="BX89">
            <v>64751.875512187507</v>
          </cell>
          <cell r="BY89">
            <v>203968.40786339066</v>
          </cell>
          <cell r="BZ89">
            <v>285555.77100874693</v>
          </cell>
          <cell r="CA89">
            <v>299833.5595591843</v>
          </cell>
          <cell r="CB89">
            <v>314825.23753714346</v>
          </cell>
          <cell r="CC89">
            <v>330566.49941400066</v>
          </cell>
          <cell r="CD89">
            <v>347094.82438470068</v>
          </cell>
          <cell r="CE89">
            <v>364449.56560393574</v>
          </cell>
          <cell r="CF89">
            <v>382672.04388413252</v>
          </cell>
          <cell r="CG89">
            <v>401805.6460783392</v>
          </cell>
          <cell r="CH89">
            <v>421895.92838225613</v>
          </cell>
          <cell r="CI89">
            <v>442990.72480136895</v>
          </cell>
          <cell r="CJ89">
            <v>465140.26104143728</v>
          </cell>
          <cell r="CK89">
            <v>488397.27409350936</v>
          </cell>
          <cell r="CL89">
            <v>512817.13779818476</v>
          </cell>
          <cell r="CM89">
            <v>538457.99468809401</v>
          </cell>
          <cell r="CN89">
            <v>565380.89442249876</v>
          </cell>
          <cell r="CO89">
            <v>593649.93914362369</v>
          </cell>
        </row>
        <row r="90">
          <cell r="A90" t="str">
            <v>HARDCO Efficiencies - Self-Service</v>
          </cell>
          <cell r="B90" t="str">
            <v>CO Efficiencies - Self-Service</v>
          </cell>
          <cell r="D90">
            <v>0</v>
          </cell>
          <cell r="E90">
            <v>0</v>
          </cell>
          <cell r="F90">
            <v>0</v>
          </cell>
          <cell r="G90">
            <v>57229.027537500013</v>
          </cell>
          <cell r="H90">
            <v>180271.43674312506</v>
          </cell>
          <cell r="I90">
            <v>252380.01144037503</v>
          </cell>
          <cell r="J90">
            <v>264999.0120123938</v>
          </cell>
          <cell r="K90">
            <v>278248.96261301346</v>
          </cell>
          <cell r="L90">
            <v>292161.41074366419</v>
          </cell>
          <cell r="M90">
            <v>306769.48128084739</v>
          </cell>
          <cell r="N90">
            <v>322107.95534488978</v>
          </cell>
          <cell r="O90">
            <v>338213.35311213427</v>
          </cell>
          <cell r="P90">
            <v>355124.02076774096</v>
          </cell>
          <cell r="Q90">
            <v>372880.22180612799</v>
          </cell>
          <cell r="R90">
            <v>391524.23289643443</v>
          </cell>
          <cell r="S90">
            <v>411100.44454125606</v>
          </cell>
          <cell r="T90">
            <v>431655.46676831902</v>
          </cell>
          <cell r="U90">
            <v>453238.24010673491</v>
          </cell>
          <cell r="V90">
            <v>475900.15211207175</v>
          </cell>
          <cell r="W90">
            <v>499695.1597176753</v>
          </cell>
          <cell r="X90">
            <v>524679.91770355904</v>
          </cell>
          <cell r="AA90">
            <v>0</v>
          </cell>
          <cell r="AB90">
            <v>0</v>
          </cell>
          <cell r="AC90">
            <v>0</v>
          </cell>
          <cell r="AD90">
            <v>45783.222030000012</v>
          </cell>
          <cell r="AE90">
            <v>144217.14939450004</v>
          </cell>
          <cell r="AF90">
            <v>201904.00915230004</v>
          </cell>
          <cell r="AG90">
            <v>211999.20960991504</v>
          </cell>
          <cell r="AH90">
            <v>222599.17009041077</v>
          </cell>
          <cell r="AI90">
            <v>233729.12859493136</v>
          </cell>
          <cell r="AJ90">
            <v>245415.58502467792</v>
          </cell>
          <cell r="AK90">
            <v>257686.36427591182</v>
          </cell>
          <cell r="AL90">
            <v>270570.68248970743</v>
          </cell>
          <cell r="AM90">
            <v>284099.21661419276</v>
          </cell>
          <cell r="AN90">
            <v>298304.17744490242</v>
          </cell>
          <cell r="AO90">
            <v>313219.38631714758</v>
          </cell>
          <cell r="AP90">
            <v>328880.35563300486</v>
          </cell>
          <cell r="AQ90">
            <v>345324.37341465522</v>
          </cell>
          <cell r="AR90">
            <v>362590.59208538797</v>
          </cell>
          <cell r="AS90">
            <v>380720.12168965745</v>
          </cell>
          <cell r="AT90">
            <v>399756.12777414027</v>
          </cell>
          <cell r="AU90">
            <v>419743.93416284723</v>
          </cell>
          <cell r="AX90">
            <v>0</v>
          </cell>
          <cell r="AY90">
            <v>0</v>
          </cell>
          <cell r="AZ90">
            <v>0</v>
          </cell>
          <cell r="BA90">
            <v>51506.124783750012</v>
          </cell>
          <cell r="BB90">
            <v>162244.29306881255</v>
          </cell>
          <cell r="BC90">
            <v>227142.01029633754</v>
          </cell>
          <cell r="BD90">
            <v>238499.11081115442</v>
          </cell>
          <cell r="BE90">
            <v>250424.06635171213</v>
          </cell>
          <cell r="BF90">
            <v>262945.26966929779</v>
          </cell>
          <cell r="BG90">
            <v>276092.53315276268</v>
          </cell>
          <cell r="BH90">
            <v>289897.1598104008</v>
          </cell>
          <cell r="BI90">
            <v>304392.01780092088</v>
          </cell>
          <cell r="BJ90">
            <v>319611.61869096686</v>
          </cell>
          <cell r="BK90">
            <v>335592.1996255152</v>
          </cell>
          <cell r="BL90">
            <v>352371.80960679101</v>
          </cell>
          <cell r="BM90">
            <v>369990.40008713049</v>
          </cell>
          <cell r="BN90">
            <v>388489.92009148712</v>
          </cell>
          <cell r="BO90">
            <v>407914.41609606141</v>
          </cell>
          <cell r="BP90">
            <v>428310.1369008646</v>
          </cell>
          <cell r="BQ90">
            <v>449725.64374590776</v>
          </cell>
          <cell r="BR90">
            <v>472211.92593320314</v>
          </cell>
          <cell r="BU90">
            <v>0</v>
          </cell>
          <cell r="BV90">
            <v>0</v>
          </cell>
          <cell r="BW90">
            <v>0</v>
          </cell>
          <cell r="BX90">
            <v>65813.381668125003</v>
          </cell>
          <cell r="BY90">
            <v>207312.15225459379</v>
          </cell>
          <cell r="BZ90">
            <v>290237.01315643126</v>
          </cell>
          <cell r="CA90">
            <v>304748.86381425284</v>
          </cell>
          <cell r="CB90">
            <v>319986.30700496543</v>
          </cell>
          <cell r="CC90">
            <v>335985.6223552138</v>
          </cell>
          <cell r="CD90">
            <v>352784.90347297449</v>
          </cell>
          <cell r="CE90">
            <v>370424.14864662325</v>
          </cell>
          <cell r="CF90">
            <v>388945.35607895436</v>
          </cell>
          <cell r="CG90">
            <v>408392.62388290209</v>
          </cell>
          <cell r="CH90">
            <v>428812.25507704716</v>
          </cell>
          <cell r="CI90">
            <v>450252.86783089954</v>
          </cell>
          <cell r="CJ90">
            <v>472765.51122244442</v>
          </cell>
          <cell r="CK90">
            <v>496403.78678356681</v>
          </cell>
          <cell r="CL90">
            <v>521223.97612274514</v>
          </cell>
          <cell r="CM90">
            <v>547285.17492888251</v>
          </cell>
          <cell r="CN90">
            <v>574649.43367532652</v>
          </cell>
          <cell r="CO90">
            <v>603381.90535909287</v>
          </cell>
        </row>
        <row r="91">
          <cell r="A91" t="str">
            <v>HARDCO Efficiencies - Span of Control</v>
          </cell>
          <cell r="B91" t="str">
            <v>CO Efficiencies - Span of Control</v>
          </cell>
          <cell r="D91">
            <v>0</v>
          </cell>
          <cell r="E91">
            <v>0</v>
          </cell>
          <cell r="F91">
            <v>0</v>
          </cell>
          <cell r="G91">
            <v>294875.78006250027</v>
          </cell>
          <cell r="H91">
            <v>928858.70719687641</v>
          </cell>
          <cell r="I91">
            <v>1300402.1900756264</v>
          </cell>
          <cell r="J91">
            <v>1365422.2995794078</v>
          </cell>
          <cell r="K91">
            <v>1433693.4145583778</v>
          </cell>
          <cell r="L91">
            <v>1505378.0852862971</v>
          </cell>
          <cell r="M91">
            <v>1580646.9895506117</v>
          </cell>
          <cell r="N91">
            <v>1659679.3390281424</v>
          </cell>
          <cell r="O91">
            <v>1742663.3059795497</v>
          </cell>
          <cell r="P91">
            <v>1829796.4712785271</v>
          </cell>
          <cell r="Q91">
            <v>1921286.2948424532</v>
          </cell>
          <cell r="R91">
            <v>2017350.6095845762</v>
          </cell>
          <cell r="S91">
            <v>2118218.1400638046</v>
          </cell>
          <cell r="T91">
            <v>2224129.0470669954</v>
          </cell>
          <cell r="U91">
            <v>2335335.4994203448</v>
          </cell>
          <cell r="V91">
            <v>2452102.2743913624</v>
          </cell>
          <cell r="W91">
            <v>2574707.3881109306</v>
          </cell>
          <cell r="X91">
            <v>2703442.7575164773</v>
          </cell>
          <cell r="AA91">
            <v>0</v>
          </cell>
          <cell r="AB91">
            <v>0</v>
          </cell>
          <cell r="AC91">
            <v>0</v>
          </cell>
          <cell r="AD91">
            <v>235900.62405000022</v>
          </cell>
          <cell r="AE91">
            <v>743086.9657575012</v>
          </cell>
          <cell r="AF91">
            <v>1040321.7520605011</v>
          </cell>
          <cell r="AG91">
            <v>1092337.8396635263</v>
          </cell>
          <cell r="AH91">
            <v>1146954.7316467024</v>
          </cell>
          <cell r="AI91">
            <v>1204302.4682290377</v>
          </cell>
          <cell r="AJ91">
            <v>1264517.5916404894</v>
          </cell>
          <cell r="AK91">
            <v>1327743.4712225141</v>
          </cell>
          <cell r="AL91">
            <v>1394130.6447836398</v>
          </cell>
          <cell r="AM91">
            <v>1463837.1770228217</v>
          </cell>
          <cell r="AN91">
            <v>1537029.0358739626</v>
          </cell>
          <cell r="AO91">
            <v>1613880.4876676612</v>
          </cell>
          <cell r="AP91">
            <v>1694574.5120510438</v>
          </cell>
          <cell r="AQ91">
            <v>1779303.2376535963</v>
          </cell>
          <cell r="AR91">
            <v>1868268.399536276</v>
          </cell>
          <cell r="AS91">
            <v>1961681.81951309</v>
          </cell>
          <cell r="AT91">
            <v>2059765.9104887445</v>
          </cell>
          <cell r="AU91">
            <v>2162754.2060131817</v>
          </cell>
          <cell r="AX91">
            <v>0</v>
          </cell>
          <cell r="AY91">
            <v>0</v>
          </cell>
          <cell r="AZ91">
            <v>0</v>
          </cell>
          <cell r="BA91">
            <v>265388.20205625024</v>
          </cell>
          <cell r="BB91">
            <v>835972.83647718874</v>
          </cell>
          <cell r="BC91">
            <v>1170361.9710680638</v>
          </cell>
          <cell r="BD91">
            <v>1228880.069621467</v>
          </cell>
          <cell r="BE91">
            <v>1290324.0731025401</v>
          </cell>
          <cell r="BF91">
            <v>1354840.2767576675</v>
          </cell>
          <cell r="BG91">
            <v>1422582.2905955506</v>
          </cell>
          <cell r="BH91">
            <v>1493711.4051253281</v>
          </cell>
          <cell r="BI91">
            <v>1568396.9753815946</v>
          </cell>
          <cell r="BJ91">
            <v>1646816.8241506743</v>
          </cell>
          <cell r="BK91">
            <v>1729157.6653582079</v>
          </cell>
          <cell r="BL91">
            <v>1815615.5486261186</v>
          </cell>
          <cell r="BM91">
            <v>1906396.3260574241</v>
          </cell>
          <cell r="BN91">
            <v>2001716.1423602959</v>
          </cell>
          <cell r="BO91">
            <v>2101801.9494783105</v>
          </cell>
          <cell r="BP91">
            <v>2206892.0469522262</v>
          </cell>
          <cell r="BQ91">
            <v>2317236.6492998376</v>
          </cell>
          <cell r="BR91">
            <v>2433098.4817648297</v>
          </cell>
          <cell r="BU91">
            <v>0</v>
          </cell>
          <cell r="BV91">
            <v>0</v>
          </cell>
          <cell r="BW91">
            <v>0</v>
          </cell>
          <cell r="BX91">
            <v>339107.14707187528</v>
          </cell>
          <cell r="BY91">
            <v>1068187.5132764077</v>
          </cell>
          <cell r="BZ91">
            <v>1495462.5185869702</v>
          </cell>
          <cell r="CA91">
            <v>1570235.6445163188</v>
          </cell>
          <cell r="CB91">
            <v>1648747.4267421344</v>
          </cell>
          <cell r="CC91">
            <v>1731184.7980792415</v>
          </cell>
          <cell r="CD91">
            <v>1817744.0379832033</v>
          </cell>
          <cell r="CE91">
            <v>1908631.2398823637</v>
          </cell>
          <cell r="CF91">
            <v>2004062.8018764819</v>
          </cell>
          <cell r="CG91">
            <v>2104265.941970306</v>
          </cell>
          <cell r="CH91">
            <v>2209479.2390688211</v>
          </cell>
          <cell r="CI91">
            <v>2319953.2010222627</v>
          </cell>
          <cell r="CJ91">
            <v>2435950.8610733752</v>
          </cell>
          <cell r="CK91">
            <v>2557748.4041270446</v>
          </cell>
          <cell r="CL91">
            <v>2685635.8243333963</v>
          </cell>
          <cell r="CM91">
            <v>2819917.6155500668</v>
          </cell>
          <cell r="CN91">
            <v>2960913.4963275697</v>
          </cell>
          <cell r="CO91">
            <v>3108959.1711439486</v>
          </cell>
        </row>
        <row r="92">
          <cell r="A92" t="str">
            <v>HARDAll Else Efficiencies - Total</v>
          </cell>
          <cell r="B92" t="str">
            <v>All Else Efficiencies - Total</v>
          </cell>
          <cell r="D92">
            <v>0</v>
          </cell>
          <cell r="E92">
            <v>0</v>
          </cell>
          <cell r="F92">
            <v>0</v>
          </cell>
          <cell r="G92">
            <v>96894.507937500006</v>
          </cell>
          <cell r="H92">
            <v>305217.70000312506</v>
          </cell>
          <cell r="I92">
            <v>427304.78000437503</v>
          </cell>
          <cell r="J92">
            <v>448670.01900459384</v>
          </cell>
          <cell r="K92">
            <v>471103.51995482342</v>
          </cell>
          <cell r="L92">
            <v>494658.69595256471</v>
          </cell>
          <cell r="M92">
            <v>519391.63075019291</v>
          </cell>
          <cell r="N92">
            <v>545361.2122877026</v>
          </cell>
          <cell r="O92">
            <v>572629.27290208766</v>
          </cell>
          <cell r="P92">
            <v>601260.73654719209</v>
          </cell>
          <cell r="Q92">
            <v>631323.77337455167</v>
          </cell>
          <cell r="R92">
            <v>662889.96204327932</v>
          </cell>
          <cell r="S92">
            <v>696034.4601454431</v>
          </cell>
          <cell r="T92">
            <v>730836.18315271556</v>
          </cell>
          <cell r="U92">
            <v>767377.99231035123</v>
          </cell>
          <cell r="V92">
            <v>805746.89192586893</v>
          </cell>
          <cell r="W92">
            <v>846034.23652216233</v>
          </cell>
          <cell r="X92">
            <v>888335.9483482705</v>
          </cell>
          <cell r="AA92">
            <v>0</v>
          </cell>
          <cell r="AB92">
            <v>0</v>
          </cell>
          <cell r="AC92">
            <v>0</v>
          </cell>
          <cell r="AD92">
            <v>77515.606350000002</v>
          </cell>
          <cell r="AE92">
            <v>244174.16000250005</v>
          </cell>
          <cell r="AF92">
            <v>341843.82400350005</v>
          </cell>
          <cell r="AG92">
            <v>358936.01520367508</v>
          </cell>
          <cell r="AH92">
            <v>376882.81596385874</v>
          </cell>
          <cell r="AI92">
            <v>395726.95676205179</v>
          </cell>
          <cell r="AJ92">
            <v>415513.30460015434</v>
          </cell>
          <cell r="AK92">
            <v>436288.96983016212</v>
          </cell>
          <cell r="AL92">
            <v>458103.41832167015</v>
          </cell>
          <cell r="AM92">
            <v>481008.58923775371</v>
          </cell>
          <cell r="AN92">
            <v>505059.01869964134</v>
          </cell>
          <cell r="AO92">
            <v>530311.9696346235</v>
          </cell>
          <cell r="AP92">
            <v>556827.56811635452</v>
          </cell>
          <cell r="AQ92">
            <v>584668.94652217242</v>
          </cell>
          <cell r="AR92">
            <v>613902.393848281</v>
          </cell>
          <cell r="AS92">
            <v>644597.51354069519</v>
          </cell>
          <cell r="AT92">
            <v>676827.38921772991</v>
          </cell>
          <cell r="AU92">
            <v>710668.75867861649</v>
          </cell>
          <cell r="AX92">
            <v>0</v>
          </cell>
          <cell r="AY92">
            <v>0</v>
          </cell>
          <cell r="AZ92">
            <v>0</v>
          </cell>
          <cell r="BA92">
            <v>87205.057143750004</v>
          </cell>
          <cell r="BB92">
            <v>274695.93000281259</v>
          </cell>
          <cell r="BC92">
            <v>384574.30200393754</v>
          </cell>
          <cell r="BD92">
            <v>403803.01710413449</v>
          </cell>
          <cell r="BE92">
            <v>423993.16795934108</v>
          </cell>
          <cell r="BF92">
            <v>445192.82635730825</v>
          </cell>
          <cell r="BG92">
            <v>467452.46767517366</v>
          </cell>
          <cell r="BH92">
            <v>490825.09105893236</v>
          </cell>
          <cell r="BI92">
            <v>515366.3456118789</v>
          </cell>
          <cell r="BJ92">
            <v>541134.66289247293</v>
          </cell>
          <cell r="BK92">
            <v>568191.39603709651</v>
          </cell>
          <cell r="BL92">
            <v>596600.96583895141</v>
          </cell>
          <cell r="BM92">
            <v>626431.01413089875</v>
          </cell>
          <cell r="BN92">
            <v>657752.56483744399</v>
          </cell>
          <cell r="BO92">
            <v>690640.19307931617</v>
          </cell>
          <cell r="BP92">
            <v>725172.202733282</v>
          </cell>
          <cell r="BQ92">
            <v>761430.81286994612</v>
          </cell>
          <cell r="BR92">
            <v>799502.35351344349</v>
          </cell>
          <cell r="BU92">
            <v>0</v>
          </cell>
          <cell r="BV92">
            <v>0</v>
          </cell>
          <cell r="BW92">
            <v>0</v>
          </cell>
          <cell r="BX92">
            <v>111428.68412812499</v>
          </cell>
          <cell r="BY92">
            <v>351000.35500359378</v>
          </cell>
          <cell r="BZ92">
            <v>491400.49700503127</v>
          </cell>
          <cell r="CA92">
            <v>515970.52185528289</v>
          </cell>
          <cell r="CB92">
            <v>541769.04794804694</v>
          </cell>
          <cell r="CC92">
            <v>568857.50034544943</v>
          </cell>
          <cell r="CD92">
            <v>597300.37536272185</v>
          </cell>
          <cell r="CE92">
            <v>627165.39413085789</v>
          </cell>
          <cell r="CF92">
            <v>658523.66383740073</v>
          </cell>
          <cell r="CG92">
            <v>691449.84702927084</v>
          </cell>
          <cell r="CH92">
            <v>726022.33938073437</v>
          </cell>
          <cell r="CI92">
            <v>762323.45634977112</v>
          </cell>
          <cell r="CJ92">
            <v>800439.62916725955</v>
          </cell>
          <cell r="CK92">
            <v>840461.61062562279</v>
          </cell>
          <cell r="CL92">
            <v>882484.69115690386</v>
          </cell>
          <cell r="CM92">
            <v>926608.92571474914</v>
          </cell>
          <cell r="CN92">
            <v>972939.37200048659</v>
          </cell>
          <cell r="CO92">
            <v>1021586.3406005109</v>
          </cell>
        </row>
        <row r="93">
          <cell r="A93" t="str">
            <v>HARDPAS Last Cost Avoidance</v>
          </cell>
          <cell r="B93" t="str">
            <v>PAS Last Cost Avoidance</v>
          </cell>
          <cell r="D93">
            <v>0</v>
          </cell>
          <cell r="E93">
            <v>0</v>
          </cell>
          <cell r="F93">
            <v>0</v>
          </cell>
          <cell r="G93">
            <v>2162625</v>
          </cell>
          <cell r="H93">
            <v>2162625</v>
          </cell>
          <cell r="I93">
            <v>2162625</v>
          </cell>
          <cell r="J93">
            <v>2162625</v>
          </cell>
          <cell r="K93">
            <v>2162625</v>
          </cell>
          <cell r="L93">
            <v>2162625</v>
          </cell>
          <cell r="M93">
            <v>2162625</v>
          </cell>
          <cell r="N93">
            <v>2162625</v>
          </cell>
          <cell r="O93">
            <v>2162625</v>
          </cell>
          <cell r="P93">
            <v>2162625</v>
          </cell>
          <cell r="Q93">
            <v>0</v>
          </cell>
          <cell r="R93">
            <v>0</v>
          </cell>
          <cell r="S93">
            <v>0</v>
          </cell>
          <cell r="T93">
            <v>0</v>
          </cell>
          <cell r="U93">
            <v>0</v>
          </cell>
          <cell r="V93">
            <v>0</v>
          </cell>
          <cell r="W93">
            <v>0</v>
          </cell>
          <cell r="X93">
            <v>0</v>
          </cell>
          <cell r="AA93">
            <v>0</v>
          </cell>
          <cell r="AB93">
            <v>0</v>
          </cell>
          <cell r="AC93">
            <v>0</v>
          </cell>
          <cell r="AD93">
            <v>1730100</v>
          </cell>
          <cell r="AE93">
            <v>1730100</v>
          </cell>
          <cell r="AF93">
            <v>1730100</v>
          </cell>
          <cell r="AG93">
            <v>1730100</v>
          </cell>
          <cell r="AH93">
            <v>1730100</v>
          </cell>
          <cell r="AI93">
            <v>1730100</v>
          </cell>
          <cell r="AJ93">
            <v>1730100</v>
          </cell>
          <cell r="AK93">
            <v>1730100</v>
          </cell>
          <cell r="AL93">
            <v>1730100</v>
          </cell>
          <cell r="AM93">
            <v>1730100</v>
          </cell>
          <cell r="AN93">
            <v>0</v>
          </cell>
          <cell r="AO93">
            <v>0</v>
          </cell>
          <cell r="AP93">
            <v>0</v>
          </cell>
          <cell r="AQ93">
            <v>0</v>
          </cell>
          <cell r="AR93">
            <v>0</v>
          </cell>
          <cell r="AS93">
            <v>0</v>
          </cell>
          <cell r="AT93">
            <v>0</v>
          </cell>
          <cell r="AU93">
            <v>0</v>
          </cell>
          <cell r="AX93">
            <v>0</v>
          </cell>
          <cell r="AY93">
            <v>0</v>
          </cell>
          <cell r="AZ93">
            <v>0</v>
          </cell>
          <cell r="BA93">
            <v>1946362.5</v>
          </cell>
          <cell r="BB93">
            <v>1946362.5</v>
          </cell>
          <cell r="BC93">
            <v>1946362.5</v>
          </cell>
          <cell r="BD93">
            <v>1946362.5</v>
          </cell>
          <cell r="BE93">
            <v>1946362.5</v>
          </cell>
          <cell r="BF93">
            <v>1946362.5</v>
          </cell>
          <cell r="BG93">
            <v>1946362.5</v>
          </cell>
          <cell r="BH93">
            <v>1946362.5</v>
          </cell>
          <cell r="BI93">
            <v>1946362.5</v>
          </cell>
          <cell r="BJ93">
            <v>1946362.5</v>
          </cell>
          <cell r="BK93">
            <v>0</v>
          </cell>
          <cell r="BL93">
            <v>0</v>
          </cell>
          <cell r="BM93">
            <v>0</v>
          </cell>
          <cell r="BN93">
            <v>0</v>
          </cell>
          <cell r="BO93">
            <v>0</v>
          </cell>
          <cell r="BP93">
            <v>0</v>
          </cell>
          <cell r="BQ93">
            <v>0</v>
          </cell>
          <cell r="BR93">
            <v>0</v>
          </cell>
          <cell r="BU93">
            <v>0</v>
          </cell>
          <cell r="BV93">
            <v>0</v>
          </cell>
          <cell r="BW93">
            <v>0</v>
          </cell>
          <cell r="BX93">
            <v>2487018.75</v>
          </cell>
          <cell r="BY93">
            <v>2487018.75</v>
          </cell>
          <cell r="BZ93">
            <v>2487018.75</v>
          </cell>
          <cell r="CA93">
            <v>2487018.75</v>
          </cell>
          <cell r="CB93">
            <v>2487018.75</v>
          </cell>
          <cell r="CC93">
            <v>2487018.75</v>
          </cell>
          <cell r="CD93">
            <v>2487018.75</v>
          </cell>
          <cell r="CE93">
            <v>2487018.75</v>
          </cell>
          <cell r="CF93">
            <v>2487018.75</v>
          </cell>
          <cell r="CG93">
            <v>2487018.75</v>
          </cell>
          <cell r="CH93">
            <v>0</v>
          </cell>
          <cell r="CI93">
            <v>0</v>
          </cell>
          <cell r="CJ93">
            <v>0</v>
          </cell>
          <cell r="CK93">
            <v>0</v>
          </cell>
          <cell r="CL93">
            <v>0</v>
          </cell>
          <cell r="CM93">
            <v>0</v>
          </cell>
          <cell r="CN93">
            <v>0</v>
          </cell>
          <cell r="CO93">
            <v>0</v>
          </cell>
        </row>
        <row r="94">
          <cell r="A94" t="str">
            <v>HARD</v>
          </cell>
          <cell r="B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N94">
            <v>0</v>
          </cell>
          <cell r="CO94">
            <v>0</v>
          </cell>
        </row>
        <row r="95">
          <cell r="A95" t="str">
            <v>HARD</v>
          </cell>
          <cell r="B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cell r="BM95">
            <v>0</v>
          </cell>
          <cell r="BN95">
            <v>0</v>
          </cell>
          <cell r="BO95">
            <v>0</v>
          </cell>
          <cell r="BP95">
            <v>0</v>
          </cell>
          <cell r="BQ95">
            <v>0</v>
          </cell>
          <cell r="BR95">
            <v>0</v>
          </cell>
          <cell r="BU95">
            <v>0</v>
          </cell>
          <cell r="BV95">
            <v>0</v>
          </cell>
          <cell r="BW95">
            <v>0</v>
          </cell>
          <cell r="BX95">
            <v>0</v>
          </cell>
          <cell r="BY95">
            <v>0</v>
          </cell>
          <cell r="BZ95">
            <v>0</v>
          </cell>
          <cell r="CA95">
            <v>0</v>
          </cell>
          <cell r="CB95">
            <v>0</v>
          </cell>
          <cell r="CC95">
            <v>0</v>
          </cell>
          <cell r="CD95">
            <v>0</v>
          </cell>
          <cell r="CE95">
            <v>0</v>
          </cell>
          <cell r="CF95">
            <v>0</v>
          </cell>
          <cell r="CG95">
            <v>0</v>
          </cell>
          <cell r="CH95">
            <v>0</v>
          </cell>
          <cell r="CI95">
            <v>0</v>
          </cell>
          <cell r="CJ95">
            <v>0</v>
          </cell>
          <cell r="CK95">
            <v>0</v>
          </cell>
          <cell r="CL95">
            <v>0</v>
          </cell>
          <cell r="CM95">
            <v>0</v>
          </cell>
          <cell r="CN95">
            <v>0</v>
          </cell>
          <cell r="CO95">
            <v>0</v>
          </cell>
        </row>
        <row r="96">
          <cell r="A96" t="str">
            <v>HARD</v>
          </cell>
          <cell r="B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cell r="BP96">
            <v>0</v>
          </cell>
          <cell r="BQ96">
            <v>0</v>
          </cell>
          <cell r="BR96">
            <v>0</v>
          </cell>
          <cell r="BU96">
            <v>0</v>
          </cell>
          <cell r="BV96">
            <v>0</v>
          </cell>
          <cell r="BW96">
            <v>0</v>
          </cell>
          <cell r="BX96">
            <v>0</v>
          </cell>
          <cell r="BY96">
            <v>0</v>
          </cell>
          <cell r="BZ96">
            <v>0</v>
          </cell>
          <cell r="CA96">
            <v>0</v>
          </cell>
          <cell r="CB96">
            <v>0</v>
          </cell>
          <cell r="CC96">
            <v>0</v>
          </cell>
          <cell r="CD96">
            <v>0</v>
          </cell>
          <cell r="CE96">
            <v>0</v>
          </cell>
          <cell r="CF96">
            <v>0</v>
          </cell>
          <cell r="CG96">
            <v>0</v>
          </cell>
          <cell r="CH96">
            <v>0</v>
          </cell>
          <cell r="CI96">
            <v>0</v>
          </cell>
          <cell r="CJ96">
            <v>0</v>
          </cell>
          <cell r="CK96">
            <v>0</v>
          </cell>
          <cell r="CL96">
            <v>0</v>
          </cell>
          <cell r="CM96">
            <v>0</v>
          </cell>
          <cell r="CN96">
            <v>0</v>
          </cell>
          <cell r="CO96">
            <v>0</v>
          </cell>
        </row>
        <row r="97">
          <cell r="A97" t="str">
            <v>HARD</v>
          </cell>
          <cell r="B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cell r="BM97">
            <v>0</v>
          </cell>
          <cell r="BN97">
            <v>0</v>
          </cell>
          <cell r="BO97">
            <v>0</v>
          </cell>
          <cell r="BP97">
            <v>0</v>
          </cell>
          <cell r="BQ97">
            <v>0</v>
          </cell>
          <cell r="BR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row>
        <row r="98">
          <cell r="A98" t="str">
            <v>HARD</v>
          </cell>
          <cell r="B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row>
        <row r="99">
          <cell r="A99" t="str">
            <v>HARD</v>
          </cell>
          <cell r="B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N99">
            <v>0</v>
          </cell>
          <cell r="BO99">
            <v>0</v>
          </cell>
          <cell r="BP99">
            <v>0</v>
          </cell>
          <cell r="BQ99">
            <v>0</v>
          </cell>
          <cell r="BR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0</v>
          </cell>
          <cell r="CO99">
            <v>0</v>
          </cell>
        </row>
        <row r="100">
          <cell r="A100" t="str">
            <v>HARD</v>
          </cell>
          <cell r="B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0</v>
          </cell>
        </row>
        <row r="101">
          <cell r="A101" t="str">
            <v>HARD</v>
          </cell>
          <cell r="B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cell r="BU101">
            <v>0</v>
          </cell>
          <cell r="BV101">
            <v>0</v>
          </cell>
          <cell r="BW101">
            <v>0</v>
          </cell>
          <cell r="BX101">
            <v>0</v>
          </cell>
          <cell r="BY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0</v>
          </cell>
          <cell r="CO101">
            <v>0</v>
          </cell>
        </row>
        <row r="102">
          <cell r="A102" t="str">
            <v>HARD</v>
          </cell>
          <cell r="B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cell r="BP102">
            <v>0</v>
          </cell>
          <cell r="BQ102">
            <v>0</v>
          </cell>
          <cell r="BR102">
            <v>0</v>
          </cell>
          <cell r="BU102">
            <v>0</v>
          </cell>
          <cell r="BV102">
            <v>0</v>
          </cell>
          <cell r="BW102">
            <v>0</v>
          </cell>
          <cell r="BX102">
            <v>0</v>
          </cell>
          <cell r="BY102">
            <v>0</v>
          </cell>
          <cell r="BZ102">
            <v>0</v>
          </cell>
          <cell r="CA102">
            <v>0</v>
          </cell>
          <cell r="CB102">
            <v>0</v>
          </cell>
          <cell r="CC102">
            <v>0</v>
          </cell>
          <cell r="CD102">
            <v>0</v>
          </cell>
          <cell r="CE102">
            <v>0</v>
          </cell>
          <cell r="CF102">
            <v>0</v>
          </cell>
          <cell r="CG102">
            <v>0</v>
          </cell>
          <cell r="CH102">
            <v>0</v>
          </cell>
          <cell r="CI102">
            <v>0</v>
          </cell>
          <cell r="CJ102">
            <v>0</v>
          </cell>
          <cell r="CK102">
            <v>0</v>
          </cell>
          <cell r="CL102">
            <v>0</v>
          </cell>
          <cell r="CM102">
            <v>0</v>
          </cell>
          <cell r="CN102">
            <v>0</v>
          </cell>
          <cell r="CO102">
            <v>0</v>
          </cell>
        </row>
        <row r="103">
          <cell r="A103" t="str">
            <v>HARD</v>
          </cell>
          <cell r="B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U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cell r="CI103">
            <v>0</v>
          </cell>
          <cell r="CJ103">
            <v>0</v>
          </cell>
          <cell r="CK103">
            <v>0</v>
          </cell>
          <cell r="CL103">
            <v>0</v>
          </cell>
          <cell r="CM103">
            <v>0</v>
          </cell>
          <cell r="CN103">
            <v>0</v>
          </cell>
          <cell r="CO103">
            <v>0</v>
          </cell>
        </row>
        <row r="104">
          <cell r="A104" t="str">
            <v>HARD</v>
          </cell>
          <cell r="B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row>
        <row r="105">
          <cell r="A105" t="str">
            <v>HARDBEN</v>
          </cell>
          <cell r="B105" t="str">
            <v>Total Hard Benefits</v>
          </cell>
          <cell r="D105">
            <v>0</v>
          </cell>
          <cell r="E105">
            <v>0</v>
          </cell>
          <cell r="F105">
            <v>0</v>
          </cell>
          <cell r="G105">
            <v>7359948.3132225005</v>
          </cell>
          <cell r="H105">
            <v>12955674.866650878</v>
          </cell>
          <cell r="I105">
            <v>16235030.893311229</v>
          </cell>
          <cell r="J105">
            <v>16808918.19797679</v>
          </cell>
          <cell r="K105">
            <v>17411499.867875628</v>
          </cell>
          <cell r="L105">
            <v>18044210.621269412</v>
          </cell>
          <cell r="M105">
            <v>18708556.912332878</v>
          </cell>
          <cell r="N105">
            <v>19406120.517949525</v>
          </cell>
          <cell r="O105">
            <v>20138562.303847</v>
          </cell>
          <cell r="P105">
            <v>20907626.179039352</v>
          </cell>
          <cell r="Q105">
            <v>19552518.24799132</v>
          </cell>
          <cell r="R105">
            <v>20400411.170390889</v>
          </cell>
          <cell r="S105">
            <v>21290698.738910425</v>
          </cell>
          <cell r="T105">
            <v>22225500.685855959</v>
          </cell>
          <cell r="U105">
            <v>23207042.730148751</v>
          </cell>
          <cell r="V105">
            <v>24237661.876656186</v>
          </cell>
          <cell r="W105">
            <v>25319811.980488993</v>
          </cell>
          <cell r="X105">
            <v>26456069.589513447</v>
          </cell>
          <cell r="AA105">
            <v>0</v>
          </cell>
          <cell r="AB105">
            <v>0</v>
          </cell>
          <cell r="AC105">
            <v>0</v>
          </cell>
          <cell r="AD105">
            <v>5887958.6505779997</v>
          </cell>
          <cell r="AE105">
            <v>10364539.893320702</v>
          </cell>
          <cell r="AF105">
            <v>12988024.714648984</v>
          </cell>
          <cell r="AG105">
            <v>13447134.558381431</v>
          </cell>
          <cell r="AH105">
            <v>13929199.894300502</v>
          </cell>
          <cell r="AI105">
            <v>14435368.49701553</v>
          </cell>
          <cell r="AJ105">
            <v>14966845.529866302</v>
          </cell>
          <cell r="AK105">
            <v>15524896.414359622</v>
          </cell>
          <cell r="AL105">
            <v>16110849.843077604</v>
          </cell>
          <cell r="AM105">
            <v>16726100.943231484</v>
          </cell>
          <cell r="AN105">
            <v>15642014.598393057</v>
          </cell>
          <cell r="AO105">
            <v>16320328.936312713</v>
          </cell>
          <cell r="AP105">
            <v>17032558.99112834</v>
          </cell>
          <cell r="AQ105">
            <v>17780400.548684765</v>
          </cell>
          <cell r="AR105">
            <v>18565634.184118997</v>
          </cell>
          <cell r="AS105">
            <v>19390129.501324955</v>
          </cell>
          <cell r="AT105">
            <v>20255849.584391203</v>
          </cell>
          <cell r="AU105">
            <v>21164855.671610758</v>
          </cell>
          <cell r="AX105">
            <v>0</v>
          </cell>
          <cell r="AY105">
            <v>0</v>
          </cell>
          <cell r="AZ105">
            <v>0</v>
          </cell>
          <cell r="BA105">
            <v>6623953.4819002505</v>
          </cell>
          <cell r="BB105">
            <v>11660107.379985791</v>
          </cell>
          <cell r="BC105">
            <v>14611527.803980105</v>
          </cell>
          <cell r="BD105">
            <v>15128026.378179114</v>
          </cell>
          <cell r="BE105">
            <v>15670349.881088065</v>
          </cell>
          <cell r="BF105">
            <v>16239789.55914247</v>
          </cell>
          <cell r="BG105">
            <v>16837701.221099593</v>
          </cell>
          <cell r="BH105">
            <v>17465508.466154575</v>
          </cell>
          <cell r="BI105">
            <v>18124706.0734623</v>
          </cell>
          <cell r="BJ105">
            <v>18816863.561135419</v>
          </cell>
          <cell r="BK105">
            <v>17597266.423192188</v>
          </cell>
          <cell r="BL105">
            <v>18360370.053351797</v>
          </cell>
          <cell r="BM105">
            <v>19161628.865019388</v>
          </cell>
          <cell r="BN105">
            <v>20002950.617270362</v>
          </cell>
          <cell r="BO105">
            <v>20886338.457133874</v>
          </cell>
          <cell r="BP105">
            <v>21813895.688990574</v>
          </cell>
          <cell r="BQ105">
            <v>22787830.782440104</v>
          </cell>
          <cell r="BR105">
            <v>23810462.630562108</v>
          </cell>
          <cell r="BU105">
            <v>0</v>
          </cell>
          <cell r="BV105">
            <v>0</v>
          </cell>
          <cell r="BW105">
            <v>0</v>
          </cell>
          <cell r="BX105">
            <v>8463940.560205875</v>
          </cell>
          <cell r="BY105">
            <v>14899026.096648512</v>
          </cell>
          <cell r="BZ105">
            <v>18670285.527307913</v>
          </cell>
          <cell r="CA105">
            <v>19330255.92767331</v>
          </cell>
          <cell r="CB105">
            <v>20023224.848056976</v>
          </cell>
          <cell r="CC105">
            <v>20750842.214459822</v>
          </cell>
          <cell r="CD105">
            <v>21514840.449182812</v>
          </cell>
          <cell r="CE105">
            <v>22317038.595641956</v>
          </cell>
          <cell r="CF105">
            <v>23159346.649424046</v>
          </cell>
          <cell r="CG105">
            <v>24043770.105895255</v>
          </cell>
          <cell r="CH105">
            <v>22485395.985190015</v>
          </cell>
          <cell r="CI105">
            <v>23460472.845949519</v>
          </cell>
          <cell r="CJ105">
            <v>24484303.54974699</v>
          </cell>
          <cell r="CK105">
            <v>25559325.788734347</v>
          </cell>
          <cell r="CL105">
            <v>26688099.139671061</v>
          </cell>
          <cell r="CM105">
            <v>27873311.158154618</v>
          </cell>
          <cell r="CN105">
            <v>29117783.77756235</v>
          </cell>
          <cell r="CO105">
            <v>30424480.027940463</v>
          </cell>
        </row>
        <row r="106">
          <cell r="A106" t="str">
            <v>SOFT</v>
          </cell>
          <cell r="B106" t="str">
            <v>Soft Benefits</v>
          </cell>
        </row>
        <row r="107">
          <cell r="A107" t="str">
            <v>SOFTPersonnel</v>
          </cell>
          <cell r="B107" t="str">
            <v>Personnel</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U107">
            <v>0</v>
          </cell>
          <cell r="BV107">
            <v>0</v>
          </cell>
          <cell r="BW107">
            <v>0</v>
          </cell>
          <cell r="BX107">
            <v>0</v>
          </cell>
          <cell r="BY107">
            <v>0</v>
          </cell>
          <cell r="BZ107">
            <v>0</v>
          </cell>
          <cell r="CA107">
            <v>0</v>
          </cell>
          <cell r="CB107">
            <v>0</v>
          </cell>
          <cell r="CC107">
            <v>0</v>
          </cell>
          <cell r="CD107">
            <v>0</v>
          </cell>
          <cell r="CE107">
            <v>0</v>
          </cell>
          <cell r="CF107">
            <v>0</v>
          </cell>
          <cell r="CG107">
            <v>0</v>
          </cell>
          <cell r="CH107">
            <v>0</v>
          </cell>
          <cell r="CI107">
            <v>0</v>
          </cell>
          <cell r="CJ107">
            <v>0</v>
          </cell>
          <cell r="CK107">
            <v>0</v>
          </cell>
          <cell r="CL107">
            <v>0</v>
          </cell>
          <cell r="CM107">
            <v>0</v>
          </cell>
          <cell r="CN107">
            <v>0</v>
          </cell>
          <cell r="CO107">
            <v>0</v>
          </cell>
        </row>
        <row r="108">
          <cell r="A108" t="str">
            <v>SOFTInternal Resources</v>
          </cell>
          <cell r="B108" t="str">
            <v>Internal Resources</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v>0</v>
          </cell>
          <cell r="CM108">
            <v>0</v>
          </cell>
          <cell r="CN108">
            <v>0</v>
          </cell>
          <cell r="CO108">
            <v>0</v>
          </cell>
        </row>
        <row r="109">
          <cell r="A109" t="str">
            <v>SOFTSoftware Maintenance</v>
          </cell>
          <cell r="B109" t="str">
            <v>Software Maintenance</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row>
        <row r="110">
          <cell r="A110" t="str">
            <v>SOFTTravel</v>
          </cell>
          <cell r="B110" t="str">
            <v>Travel</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U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cell r="CI110">
            <v>0</v>
          </cell>
          <cell r="CJ110">
            <v>0</v>
          </cell>
          <cell r="CK110">
            <v>0</v>
          </cell>
          <cell r="CL110">
            <v>0</v>
          </cell>
          <cell r="CM110">
            <v>0</v>
          </cell>
          <cell r="CN110">
            <v>0</v>
          </cell>
          <cell r="CO110">
            <v>0</v>
          </cell>
        </row>
        <row r="111">
          <cell r="A111" t="str">
            <v>SOFTCompliance</v>
          </cell>
          <cell r="B111" t="str">
            <v>Compliance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0</v>
          </cell>
        </row>
        <row r="112">
          <cell r="A112" t="str">
            <v>SOFTOther</v>
          </cell>
          <cell r="B112" t="str">
            <v>Other</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P112">
            <v>0</v>
          </cell>
          <cell r="BQ112">
            <v>0</v>
          </cell>
          <cell r="BR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0</v>
          </cell>
          <cell r="CO112">
            <v>0</v>
          </cell>
        </row>
        <row r="113">
          <cell r="A113" t="str">
            <v>SOFT</v>
          </cell>
          <cell r="B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row>
        <row r="114">
          <cell r="A114" t="str">
            <v>SOFT</v>
          </cell>
          <cell r="B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0</v>
          </cell>
          <cell r="CO114">
            <v>0</v>
          </cell>
        </row>
        <row r="115">
          <cell r="A115" t="str">
            <v>SOFT</v>
          </cell>
          <cell r="B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U115">
            <v>0</v>
          </cell>
          <cell r="BV115">
            <v>0</v>
          </cell>
          <cell r="BW115">
            <v>0</v>
          </cell>
          <cell r="BX115">
            <v>0</v>
          </cell>
          <cell r="BY115">
            <v>0</v>
          </cell>
          <cell r="BZ115">
            <v>0</v>
          </cell>
          <cell r="CA115">
            <v>0</v>
          </cell>
          <cell r="CB115">
            <v>0</v>
          </cell>
          <cell r="CC115">
            <v>0</v>
          </cell>
          <cell r="CD115">
            <v>0</v>
          </cell>
          <cell r="CE115">
            <v>0</v>
          </cell>
          <cell r="CF115">
            <v>0</v>
          </cell>
          <cell r="CG115">
            <v>0</v>
          </cell>
          <cell r="CH115">
            <v>0</v>
          </cell>
          <cell r="CI115">
            <v>0</v>
          </cell>
          <cell r="CJ115">
            <v>0</v>
          </cell>
          <cell r="CK115">
            <v>0</v>
          </cell>
          <cell r="CL115">
            <v>0</v>
          </cell>
          <cell r="CM115">
            <v>0</v>
          </cell>
          <cell r="CN115">
            <v>0</v>
          </cell>
          <cell r="CO115">
            <v>0</v>
          </cell>
        </row>
        <row r="116">
          <cell r="A116" t="str">
            <v>SOFT</v>
          </cell>
          <cell r="B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row>
        <row r="117">
          <cell r="A117" t="str">
            <v>SOFT</v>
          </cell>
          <cell r="B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U117">
            <v>0</v>
          </cell>
          <cell r="BV117">
            <v>0</v>
          </cell>
          <cell r="BW117">
            <v>0</v>
          </cell>
          <cell r="BX117">
            <v>0</v>
          </cell>
          <cell r="BY117">
            <v>0</v>
          </cell>
          <cell r="BZ117">
            <v>0</v>
          </cell>
          <cell r="CA117">
            <v>0</v>
          </cell>
          <cell r="CB117">
            <v>0</v>
          </cell>
          <cell r="CC117">
            <v>0</v>
          </cell>
          <cell r="CD117">
            <v>0</v>
          </cell>
          <cell r="CE117">
            <v>0</v>
          </cell>
          <cell r="CF117">
            <v>0</v>
          </cell>
          <cell r="CG117">
            <v>0</v>
          </cell>
          <cell r="CH117">
            <v>0</v>
          </cell>
          <cell r="CI117">
            <v>0</v>
          </cell>
          <cell r="CJ117">
            <v>0</v>
          </cell>
          <cell r="CK117">
            <v>0</v>
          </cell>
          <cell r="CL117">
            <v>0</v>
          </cell>
          <cell r="CM117">
            <v>0</v>
          </cell>
          <cell r="CN117">
            <v>0</v>
          </cell>
          <cell r="CO117">
            <v>0</v>
          </cell>
        </row>
        <row r="118">
          <cell r="A118" t="str">
            <v>SOFT</v>
          </cell>
          <cell r="B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0</v>
          </cell>
          <cell r="CO118">
            <v>0</v>
          </cell>
        </row>
        <row r="119">
          <cell r="A119" t="str">
            <v>SOFT</v>
          </cell>
          <cell r="B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U119">
            <v>0</v>
          </cell>
          <cell r="BV119">
            <v>0</v>
          </cell>
          <cell r="BW119">
            <v>0</v>
          </cell>
          <cell r="BX119">
            <v>0</v>
          </cell>
          <cell r="BY119">
            <v>0</v>
          </cell>
          <cell r="BZ119">
            <v>0</v>
          </cell>
          <cell r="CA119">
            <v>0</v>
          </cell>
          <cell r="CB119">
            <v>0</v>
          </cell>
          <cell r="CC119">
            <v>0</v>
          </cell>
          <cell r="CD119">
            <v>0</v>
          </cell>
          <cell r="CE119">
            <v>0</v>
          </cell>
          <cell r="CF119">
            <v>0</v>
          </cell>
          <cell r="CG119">
            <v>0</v>
          </cell>
          <cell r="CH119">
            <v>0</v>
          </cell>
          <cell r="CI119">
            <v>0</v>
          </cell>
          <cell r="CJ119">
            <v>0</v>
          </cell>
          <cell r="CK119">
            <v>0</v>
          </cell>
          <cell r="CL119">
            <v>0</v>
          </cell>
          <cell r="CM119">
            <v>0</v>
          </cell>
          <cell r="CN119">
            <v>0</v>
          </cell>
          <cell r="CO119">
            <v>0</v>
          </cell>
        </row>
        <row r="120">
          <cell r="A120" t="str">
            <v>SOFT</v>
          </cell>
          <cell r="B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row>
        <row r="121">
          <cell r="A121" t="str">
            <v>SOFT</v>
          </cell>
          <cell r="B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U121">
            <v>0</v>
          </cell>
          <cell r="BV121">
            <v>0</v>
          </cell>
          <cell r="BW121">
            <v>0</v>
          </cell>
          <cell r="BX121">
            <v>0</v>
          </cell>
          <cell r="BY121">
            <v>0</v>
          </cell>
          <cell r="BZ121">
            <v>0</v>
          </cell>
          <cell r="CA121">
            <v>0</v>
          </cell>
          <cell r="CB121">
            <v>0</v>
          </cell>
          <cell r="CC121">
            <v>0</v>
          </cell>
          <cell r="CD121">
            <v>0</v>
          </cell>
          <cell r="CE121">
            <v>0</v>
          </cell>
          <cell r="CF121">
            <v>0</v>
          </cell>
          <cell r="CG121">
            <v>0</v>
          </cell>
          <cell r="CH121">
            <v>0</v>
          </cell>
          <cell r="CI121">
            <v>0</v>
          </cell>
          <cell r="CJ121">
            <v>0</v>
          </cell>
          <cell r="CK121">
            <v>0</v>
          </cell>
          <cell r="CL121">
            <v>0</v>
          </cell>
          <cell r="CM121">
            <v>0</v>
          </cell>
          <cell r="CN121">
            <v>0</v>
          </cell>
          <cell r="CO121">
            <v>0</v>
          </cell>
        </row>
        <row r="122">
          <cell r="A122" t="str">
            <v>SOFT</v>
          </cell>
          <cell r="B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v>0</v>
          </cell>
          <cell r="CM122">
            <v>0</v>
          </cell>
          <cell r="CN122">
            <v>0</v>
          </cell>
          <cell r="CO122">
            <v>0</v>
          </cell>
        </row>
        <row r="123">
          <cell r="A123" t="str">
            <v>SOFT</v>
          </cell>
          <cell r="B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cell r="BM123">
            <v>0</v>
          </cell>
          <cell r="BN123">
            <v>0</v>
          </cell>
          <cell r="BO123">
            <v>0</v>
          </cell>
          <cell r="BP123">
            <v>0</v>
          </cell>
          <cell r="BQ123">
            <v>0</v>
          </cell>
          <cell r="BR123">
            <v>0</v>
          </cell>
          <cell r="BU123">
            <v>0</v>
          </cell>
          <cell r="BV123">
            <v>0</v>
          </cell>
          <cell r="BW123">
            <v>0</v>
          </cell>
          <cell r="BX123">
            <v>0</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0</v>
          </cell>
          <cell r="CO123">
            <v>0</v>
          </cell>
        </row>
        <row r="124">
          <cell r="A124" t="str">
            <v>SOFT</v>
          </cell>
          <cell r="B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0</v>
          </cell>
        </row>
        <row r="125">
          <cell r="A125" t="str">
            <v>SOFT</v>
          </cell>
          <cell r="B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row>
        <row r="126">
          <cell r="A126" t="str">
            <v>SOFTBEN</v>
          </cell>
          <cell r="B126" t="str">
            <v>Total Soft Benefits</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row>
        <row r="128">
          <cell r="A128" t="str">
            <v>TOTBEN</v>
          </cell>
          <cell r="B128" t="str">
            <v>Total Benefits (excl NGAR)</v>
          </cell>
          <cell r="D128">
            <v>0</v>
          </cell>
          <cell r="E128">
            <v>0</v>
          </cell>
          <cell r="F128">
            <v>0</v>
          </cell>
          <cell r="G128">
            <v>7359948.3132225005</v>
          </cell>
          <cell r="H128">
            <v>12955674.866650878</v>
          </cell>
          <cell r="I128">
            <v>16235030.893311229</v>
          </cell>
          <cell r="J128">
            <v>16808918.19797679</v>
          </cell>
          <cell r="K128">
            <v>17411499.867875628</v>
          </cell>
          <cell r="L128">
            <v>18044210.621269412</v>
          </cell>
          <cell r="M128">
            <v>18708556.912332878</v>
          </cell>
          <cell r="N128">
            <v>19406120.517949525</v>
          </cell>
          <cell r="O128">
            <v>20138562.303847</v>
          </cell>
          <cell r="P128">
            <v>20907626.179039352</v>
          </cell>
          <cell r="Q128">
            <v>19552518.24799132</v>
          </cell>
          <cell r="R128">
            <v>20400411.170390889</v>
          </cell>
          <cell r="S128">
            <v>21290698.738910425</v>
          </cell>
          <cell r="T128">
            <v>22225500.685855959</v>
          </cell>
          <cell r="U128">
            <v>23207042.730148751</v>
          </cell>
          <cell r="V128">
            <v>24237661.876656186</v>
          </cell>
          <cell r="W128">
            <v>25319811.980488993</v>
          </cell>
          <cell r="X128">
            <v>26456069.589513447</v>
          </cell>
          <cell r="AA128">
            <v>0</v>
          </cell>
          <cell r="AB128">
            <v>0</v>
          </cell>
          <cell r="AC128">
            <v>0</v>
          </cell>
          <cell r="AD128">
            <v>5887958.6505779997</v>
          </cell>
          <cell r="AE128">
            <v>10364539.893320702</v>
          </cell>
          <cell r="AF128">
            <v>12988024.714648984</v>
          </cell>
          <cell r="AG128">
            <v>13447134.558381431</v>
          </cell>
          <cell r="AH128">
            <v>13929199.894300502</v>
          </cell>
          <cell r="AI128">
            <v>14435368.49701553</v>
          </cell>
          <cell r="AJ128">
            <v>14966845.529866302</v>
          </cell>
          <cell r="AK128">
            <v>15524896.414359622</v>
          </cell>
          <cell r="AL128">
            <v>16110849.843077604</v>
          </cell>
          <cell r="AM128">
            <v>16726100.943231484</v>
          </cell>
          <cell r="AN128">
            <v>15642014.598393057</v>
          </cell>
          <cell r="AO128">
            <v>16320328.936312713</v>
          </cell>
          <cell r="AP128">
            <v>17032558.99112834</v>
          </cell>
          <cell r="AQ128">
            <v>17780400.548684765</v>
          </cell>
          <cell r="AR128">
            <v>18565634.184118997</v>
          </cell>
          <cell r="AS128">
            <v>19390129.501324955</v>
          </cell>
          <cell r="AT128">
            <v>20255849.584391203</v>
          </cell>
          <cell r="AU128">
            <v>21164855.671610758</v>
          </cell>
          <cell r="AX128">
            <v>0</v>
          </cell>
          <cell r="AY128">
            <v>0</v>
          </cell>
          <cell r="AZ128">
            <v>0</v>
          </cell>
          <cell r="BA128">
            <v>6623953.4819002505</v>
          </cell>
          <cell r="BB128">
            <v>11660107.379985791</v>
          </cell>
          <cell r="BC128">
            <v>14611527.803980105</v>
          </cell>
          <cell r="BD128">
            <v>15128026.378179114</v>
          </cell>
          <cell r="BE128">
            <v>15670349.881088065</v>
          </cell>
          <cell r="BF128">
            <v>16239789.55914247</v>
          </cell>
          <cell r="BG128">
            <v>16837701.221099593</v>
          </cell>
          <cell r="BH128">
            <v>17465508.466154575</v>
          </cell>
          <cell r="BI128">
            <v>18124706.0734623</v>
          </cell>
          <cell r="BJ128">
            <v>18816863.561135419</v>
          </cell>
          <cell r="BK128">
            <v>17597266.423192188</v>
          </cell>
          <cell r="BL128">
            <v>18360370.053351797</v>
          </cell>
          <cell r="BM128">
            <v>19161628.865019388</v>
          </cell>
          <cell r="BN128">
            <v>20002950.617270362</v>
          </cell>
          <cell r="BO128">
            <v>20886338.457133874</v>
          </cell>
          <cell r="BP128">
            <v>21813895.688990574</v>
          </cell>
          <cell r="BQ128">
            <v>22787830.782440104</v>
          </cell>
          <cell r="BR128">
            <v>23810462.630562108</v>
          </cell>
          <cell r="BU128">
            <v>0</v>
          </cell>
          <cell r="BV128">
            <v>0</v>
          </cell>
          <cell r="BW128">
            <v>0</v>
          </cell>
          <cell r="BX128">
            <v>8463940.560205875</v>
          </cell>
          <cell r="BY128">
            <v>14899026.096648512</v>
          </cell>
          <cell r="BZ128">
            <v>18670285.527307913</v>
          </cell>
          <cell r="CA128">
            <v>19330255.92767331</v>
          </cell>
          <cell r="CB128">
            <v>20023224.848056976</v>
          </cell>
          <cell r="CC128">
            <v>20750842.214459822</v>
          </cell>
          <cell r="CD128">
            <v>21514840.449182812</v>
          </cell>
          <cell r="CE128">
            <v>22317038.595641956</v>
          </cell>
          <cell r="CF128">
            <v>23159346.649424046</v>
          </cell>
          <cell r="CG128">
            <v>24043770.105895255</v>
          </cell>
          <cell r="CH128">
            <v>22485395.985190015</v>
          </cell>
          <cell r="CI128">
            <v>23460472.845949519</v>
          </cell>
          <cell r="CJ128">
            <v>24484303.54974699</v>
          </cell>
          <cell r="CK128">
            <v>25559325.788734347</v>
          </cell>
          <cell r="CL128">
            <v>26688099.139671061</v>
          </cell>
          <cell r="CM128">
            <v>27873311.158154618</v>
          </cell>
          <cell r="CN128">
            <v>29117783.77756235</v>
          </cell>
          <cell r="CO128">
            <v>30424480.027940463</v>
          </cell>
        </row>
        <row r="130">
          <cell r="A130" t="str">
            <v xml:space="preserve">OTHERNGAR </v>
          </cell>
          <cell r="B130" t="str">
            <v xml:space="preserve">NGAR </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row>
      </sheetData>
      <sheetData sheetId="13"/>
      <sheetData sheetId="14"/>
      <sheetData sheetId="15"/>
      <sheetData sheetId="16">
        <row r="67">
          <cell r="I67">
            <v>33.5</v>
          </cell>
          <cell r="AF67">
            <v>11.5</v>
          </cell>
          <cell r="AO67">
            <v>0</v>
          </cell>
          <cell r="AQ67">
            <v>0</v>
          </cell>
          <cell r="AS67">
            <v>911880.69375000009</v>
          </cell>
          <cell r="AU67">
            <v>2735642.0812500003</v>
          </cell>
          <cell r="AW67">
            <v>3647522.7750000004</v>
          </cell>
          <cell r="AY67">
            <v>3647522.7750000004</v>
          </cell>
          <cell r="BA67">
            <v>3647522.7750000004</v>
          </cell>
          <cell r="BC67">
            <v>3647522.7750000004</v>
          </cell>
          <cell r="BE67">
            <v>3647522.7750000004</v>
          </cell>
          <cell r="BG67">
            <v>3647522.7750000004</v>
          </cell>
          <cell r="BI67">
            <v>3647522.7750000004</v>
          </cell>
          <cell r="BK67">
            <v>3647522.7750000004</v>
          </cell>
          <cell r="BM67">
            <v>3647522.7750000004</v>
          </cell>
          <cell r="BO67">
            <v>3647522.7750000004</v>
          </cell>
          <cell r="BQ67">
            <v>3647522.7750000004</v>
          </cell>
          <cell r="BS67">
            <v>3647522.7750000004</v>
          </cell>
          <cell r="BU67">
            <v>3647522.7750000004</v>
          </cell>
          <cell r="BW67">
            <v>3647522.7750000004</v>
          </cell>
          <cell r="BY67">
            <v>3647522.7750000004</v>
          </cell>
          <cell r="CA67">
            <v>3647522.7750000004</v>
          </cell>
        </row>
        <row r="69">
          <cell r="AP69">
            <v>0</v>
          </cell>
          <cell r="AR69">
            <v>0</v>
          </cell>
          <cell r="AT69">
            <v>106810.11249999999</v>
          </cell>
          <cell r="AV69">
            <v>320430.33750000002</v>
          </cell>
          <cell r="AX69">
            <v>427240.44999999995</v>
          </cell>
          <cell r="AZ69">
            <v>427240.44999999995</v>
          </cell>
          <cell r="BB69">
            <v>427240.44999999995</v>
          </cell>
          <cell r="BD69">
            <v>427240.44999999995</v>
          </cell>
          <cell r="BF69">
            <v>427240.44999999995</v>
          </cell>
          <cell r="BH69">
            <v>427240.44999999995</v>
          </cell>
          <cell r="BJ69">
            <v>427240.44999999995</v>
          </cell>
          <cell r="BL69">
            <v>427240.44999999995</v>
          </cell>
          <cell r="BN69">
            <v>427240.44999999995</v>
          </cell>
          <cell r="BP69">
            <v>427240.44999999995</v>
          </cell>
          <cell r="BR69">
            <v>427240.44999999995</v>
          </cell>
          <cell r="BT69">
            <v>427240.44999999995</v>
          </cell>
          <cell r="BV69">
            <v>427240.44999999995</v>
          </cell>
          <cell r="BX69">
            <v>427240.44999999995</v>
          </cell>
          <cell r="BZ69">
            <v>427240.44999999995</v>
          </cell>
          <cell r="CB69">
            <v>427240.44999999995</v>
          </cell>
        </row>
        <row r="71">
          <cell r="AP71">
            <v>0</v>
          </cell>
          <cell r="AR71">
            <v>0</v>
          </cell>
          <cell r="AT71">
            <v>119721.22500000001</v>
          </cell>
          <cell r="AV71">
            <v>359163.67499999999</v>
          </cell>
          <cell r="AX71">
            <v>478884.9</v>
          </cell>
          <cell r="AZ71">
            <v>478884.9</v>
          </cell>
          <cell r="BB71">
            <v>478884.9</v>
          </cell>
          <cell r="BD71">
            <v>478884.9</v>
          </cell>
          <cell r="BF71">
            <v>478884.9</v>
          </cell>
          <cell r="BH71">
            <v>478884.9</v>
          </cell>
          <cell r="BJ71">
            <v>478884.9</v>
          </cell>
          <cell r="BL71">
            <v>478884.9</v>
          </cell>
          <cell r="BN71">
            <v>478884.9</v>
          </cell>
          <cell r="BP71">
            <v>478884.9</v>
          </cell>
          <cell r="BR71">
            <v>478884.9</v>
          </cell>
          <cell r="BT71">
            <v>478884.9</v>
          </cell>
          <cell r="BV71">
            <v>478884.9</v>
          </cell>
          <cell r="BX71">
            <v>478884.9</v>
          </cell>
          <cell r="BZ71">
            <v>478884.9</v>
          </cell>
          <cell r="CB71">
            <v>478884.9</v>
          </cell>
        </row>
        <row r="73">
          <cell r="AP73">
            <v>0</v>
          </cell>
          <cell r="AR73">
            <v>0</v>
          </cell>
          <cell r="AT73">
            <v>95674.71875</v>
          </cell>
          <cell r="AV73">
            <v>287024.15625</v>
          </cell>
          <cell r="AX73">
            <v>382698.875</v>
          </cell>
          <cell r="AZ73">
            <v>382698.875</v>
          </cell>
          <cell r="BB73">
            <v>382698.875</v>
          </cell>
          <cell r="BD73">
            <v>382698.875</v>
          </cell>
          <cell r="BF73">
            <v>382698.875</v>
          </cell>
          <cell r="BH73">
            <v>382698.875</v>
          </cell>
          <cell r="BJ73">
            <v>382698.875</v>
          </cell>
          <cell r="BL73">
            <v>382698.875</v>
          </cell>
          <cell r="BN73">
            <v>382698.875</v>
          </cell>
          <cell r="BP73">
            <v>382698.875</v>
          </cell>
          <cell r="BR73">
            <v>382698.875</v>
          </cell>
          <cell r="BT73">
            <v>382698.875</v>
          </cell>
          <cell r="BV73">
            <v>382698.875</v>
          </cell>
          <cell r="BX73">
            <v>382698.875</v>
          </cell>
          <cell r="BZ73">
            <v>382698.875</v>
          </cell>
          <cell r="CB73">
            <v>382698.875</v>
          </cell>
        </row>
        <row r="75">
          <cell r="AP75">
            <v>0</v>
          </cell>
          <cell r="AR75">
            <v>0</v>
          </cell>
          <cell r="AT75">
            <v>0</v>
          </cell>
          <cell r="AV75">
            <v>0</v>
          </cell>
          <cell r="AX75">
            <v>0</v>
          </cell>
          <cell r="AZ75">
            <v>0</v>
          </cell>
          <cell r="BB75">
            <v>0</v>
          </cell>
          <cell r="BD75">
            <v>0</v>
          </cell>
          <cell r="BF75">
            <v>0</v>
          </cell>
          <cell r="BH75">
            <v>0</v>
          </cell>
          <cell r="BJ75">
            <v>0</v>
          </cell>
          <cell r="BL75">
            <v>0</v>
          </cell>
          <cell r="BN75">
            <v>0</v>
          </cell>
          <cell r="BP75">
            <v>0</v>
          </cell>
          <cell r="BR75">
            <v>0</v>
          </cell>
          <cell r="BT75">
            <v>0</v>
          </cell>
          <cell r="BV75">
            <v>0</v>
          </cell>
          <cell r="BX75">
            <v>0</v>
          </cell>
          <cell r="BZ75">
            <v>0</v>
          </cell>
          <cell r="CB75">
            <v>0</v>
          </cell>
        </row>
      </sheetData>
      <sheetData sheetId="17">
        <row r="127">
          <cell r="AF127">
            <v>46.06</v>
          </cell>
          <cell r="AH127">
            <v>11</v>
          </cell>
        </row>
        <row r="129">
          <cell r="AR129">
            <v>0</v>
          </cell>
          <cell r="AS129">
            <v>0</v>
          </cell>
          <cell r="AT129">
            <v>152376.315</v>
          </cell>
          <cell r="AU129">
            <v>457128.94500000007</v>
          </cell>
          <cell r="AV129">
            <v>609505.26</v>
          </cell>
          <cell r="AW129">
            <v>609505.26</v>
          </cell>
          <cell r="AX129">
            <v>609505.26</v>
          </cell>
          <cell r="AY129">
            <v>609505.26</v>
          </cell>
          <cell r="AZ129">
            <v>609505.26</v>
          </cell>
          <cell r="BA129">
            <v>609505.26</v>
          </cell>
          <cell r="BB129">
            <v>609505.26</v>
          </cell>
          <cell r="BC129">
            <v>609505.26</v>
          </cell>
          <cell r="BD129">
            <v>609505.26</v>
          </cell>
          <cell r="BE129">
            <v>609505.26</v>
          </cell>
          <cell r="BF129">
            <v>609505.26</v>
          </cell>
          <cell r="BG129">
            <v>609505.26</v>
          </cell>
          <cell r="BH129">
            <v>609505.26</v>
          </cell>
          <cell r="BI129">
            <v>609505.26</v>
          </cell>
          <cell r="BJ129">
            <v>609505.26</v>
          </cell>
          <cell r="BK129">
            <v>609505.26</v>
          </cell>
        </row>
        <row r="131">
          <cell r="AR131">
            <v>0</v>
          </cell>
          <cell r="AS131">
            <v>0</v>
          </cell>
          <cell r="AT131">
            <v>266407.38150000008</v>
          </cell>
          <cell r="AU131">
            <v>799222.14449999994</v>
          </cell>
          <cell r="AV131">
            <v>1065629.5260000003</v>
          </cell>
          <cell r="AW131">
            <v>1065629.5260000003</v>
          </cell>
          <cell r="AX131">
            <v>1065629.5260000003</v>
          </cell>
          <cell r="AY131">
            <v>1065629.5260000003</v>
          </cell>
          <cell r="AZ131">
            <v>1065629.5260000003</v>
          </cell>
          <cell r="BA131">
            <v>1065629.5260000003</v>
          </cell>
          <cell r="BB131">
            <v>1065629.5260000003</v>
          </cell>
          <cell r="BC131">
            <v>1065629.5260000003</v>
          </cell>
          <cell r="BD131">
            <v>1065629.5260000003</v>
          </cell>
          <cell r="BE131">
            <v>1065629.5260000003</v>
          </cell>
          <cell r="BF131">
            <v>1065629.5260000003</v>
          </cell>
          <cell r="BG131">
            <v>1065629.5260000003</v>
          </cell>
          <cell r="BH131">
            <v>1065629.5260000003</v>
          </cell>
          <cell r="BI131">
            <v>1065629.5260000003</v>
          </cell>
          <cell r="BJ131">
            <v>1065629.5260000003</v>
          </cell>
          <cell r="BK131">
            <v>1065629.5260000003</v>
          </cell>
        </row>
        <row r="133">
          <cell r="AR133">
            <v>0</v>
          </cell>
          <cell r="AS133">
            <v>0</v>
          </cell>
          <cell r="AT133">
            <v>36000.997500000012</v>
          </cell>
          <cell r="AU133">
            <v>108002.99250000002</v>
          </cell>
          <cell r="AV133">
            <v>144003.99000000005</v>
          </cell>
          <cell r="AW133">
            <v>144003.99000000005</v>
          </cell>
          <cell r="AX133">
            <v>144003.99000000005</v>
          </cell>
          <cell r="AY133">
            <v>144003.99000000005</v>
          </cell>
          <cell r="AZ133">
            <v>144003.99000000005</v>
          </cell>
          <cell r="BA133">
            <v>144003.99000000005</v>
          </cell>
          <cell r="BB133">
            <v>144003.99000000005</v>
          </cell>
          <cell r="BC133">
            <v>144003.99000000005</v>
          </cell>
          <cell r="BD133">
            <v>144003.99000000005</v>
          </cell>
          <cell r="BE133">
            <v>144003.99000000005</v>
          </cell>
          <cell r="BF133">
            <v>144003.99000000005</v>
          </cell>
          <cell r="BG133">
            <v>144003.99000000005</v>
          </cell>
          <cell r="BH133">
            <v>144003.99000000005</v>
          </cell>
          <cell r="BI133">
            <v>144003.99000000005</v>
          </cell>
          <cell r="BJ133">
            <v>144003.99000000005</v>
          </cell>
          <cell r="BK133">
            <v>144003.99000000005</v>
          </cell>
        </row>
        <row r="135">
          <cell r="AR135">
            <v>0</v>
          </cell>
          <cell r="AS135">
            <v>0</v>
          </cell>
          <cell r="AT135">
            <v>75350.925000000003</v>
          </cell>
          <cell r="AU135">
            <v>226052.77500000002</v>
          </cell>
          <cell r="AV135">
            <v>301403.7</v>
          </cell>
          <cell r="AW135">
            <v>301403.7</v>
          </cell>
          <cell r="AX135">
            <v>301403.7</v>
          </cell>
          <cell r="AY135">
            <v>301403.7</v>
          </cell>
          <cell r="AZ135">
            <v>301403.7</v>
          </cell>
          <cell r="BA135">
            <v>301403.7</v>
          </cell>
          <cell r="BB135">
            <v>301403.7</v>
          </cell>
          <cell r="BC135">
            <v>301403.7</v>
          </cell>
          <cell r="BD135">
            <v>301403.7</v>
          </cell>
          <cell r="BE135">
            <v>301403.7</v>
          </cell>
          <cell r="BF135">
            <v>301403.7</v>
          </cell>
          <cell r="BG135">
            <v>301403.7</v>
          </cell>
          <cell r="BH135">
            <v>301403.7</v>
          </cell>
          <cell r="BI135">
            <v>301403.7</v>
          </cell>
          <cell r="BJ135">
            <v>301403.7</v>
          </cell>
          <cell r="BK135">
            <v>301403.7</v>
          </cell>
        </row>
        <row r="137">
          <cell r="AR137">
            <v>0</v>
          </cell>
          <cell r="AS137">
            <v>0</v>
          </cell>
          <cell r="AT137">
            <v>138143.36249999999</v>
          </cell>
          <cell r="AU137">
            <v>414430.08750000002</v>
          </cell>
          <cell r="AV137">
            <v>552573.44999999995</v>
          </cell>
          <cell r="AW137">
            <v>552573.44999999995</v>
          </cell>
          <cell r="AX137">
            <v>552573.44999999995</v>
          </cell>
          <cell r="AY137">
            <v>552573.44999999995</v>
          </cell>
          <cell r="AZ137">
            <v>552573.44999999995</v>
          </cell>
          <cell r="BA137">
            <v>552573.44999999995</v>
          </cell>
          <cell r="BB137">
            <v>552573.44999999995</v>
          </cell>
          <cell r="BC137">
            <v>552573.44999999995</v>
          </cell>
          <cell r="BD137">
            <v>552573.44999999995</v>
          </cell>
          <cell r="BE137">
            <v>552573.44999999995</v>
          </cell>
          <cell r="BF137">
            <v>552573.44999999995</v>
          </cell>
          <cell r="BG137">
            <v>552573.44999999995</v>
          </cell>
          <cell r="BH137">
            <v>552573.44999999995</v>
          </cell>
          <cell r="BI137">
            <v>552573.44999999995</v>
          </cell>
          <cell r="BJ137">
            <v>552573.44999999995</v>
          </cell>
          <cell r="BK137">
            <v>552573.44999999995</v>
          </cell>
        </row>
        <row r="139">
          <cell r="AR139">
            <v>0</v>
          </cell>
          <cell r="AS139">
            <v>0</v>
          </cell>
          <cell r="AT139">
            <v>51071.18250000001</v>
          </cell>
          <cell r="AU139">
            <v>153213.54750000002</v>
          </cell>
          <cell r="AV139">
            <v>204284.73000000004</v>
          </cell>
          <cell r="AW139">
            <v>204284.73000000004</v>
          </cell>
          <cell r="AX139">
            <v>204284.73000000004</v>
          </cell>
          <cell r="AY139">
            <v>204284.73000000004</v>
          </cell>
          <cell r="AZ139">
            <v>204284.73000000004</v>
          </cell>
          <cell r="BA139">
            <v>204284.73000000004</v>
          </cell>
          <cell r="BB139">
            <v>204284.73000000004</v>
          </cell>
          <cell r="BC139">
            <v>204284.73000000004</v>
          </cell>
          <cell r="BD139">
            <v>204284.73000000004</v>
          </cell>
          <cell r="BE139">
            <v>204284.73000000004</v>
          </cell>
          <cell r="BF139">
            <v>204284.73000000004</v>
          </cell>
          <cell r="BG139">
            <v>204284.73000000004</v>
          </cell>
          <cell r="BH139">
            <v>204284.73000000004</v>
          </cell>
          <cell r="BI139">
            <v>204284.73000000004</v>
          </cell>
          <cell r="BJ139">
            <v>204284.73000000004</v>
          </cell>
          <cell r="BK139">
            <v>204284.73000000004</v>
          </cell>
        </row>
        <row r="141">
          <cell r="AR141">
            <v>0</v>
          </cell>
          <cell r="AS141">
            <v>0</v>
          </cell>
          <cell r="AT141">
            <v>51908.415000000008</v>
          </cell>
          <cell r="AU141">
            <v>155725.24500000002</v>
          </cell>
          <cell r="AV141">
            <v>207633.66000000003</v>
          </cell>
          <cell r="AW141">
            <v>207633.66000000003</v>
          </cell>
          <cell r="AX141">
            <v>207633.66000000003</v>
          </cell>
          <cell r="AY141">
            <v>207633.66000000003</v>
          </cell>
          <cell r="AZ141">
            <v>207633.66000000003</v>
          </cell>
          <cell r="BA141">
            <v>207633.66000000003</v>
          </cell>
          <cell r="BB141">
            <v>207633.66000000003</v>
          </cell>
          <cell r="BC141">
            <v>207633.66000000003</v>
          </cell>
          <cell r="BD141">
            <v>207633.66000000003</v>
          </cell>
          <cell r="BE141">
            <v>207633.66000000003</v>
          </cell>
          <cell r="BF141">
            <v>207633.66000000003</v>
          </cell>
          <cell r="BG141">
            <v>207633.66000000003</v>
          </cell>
          <cell r="BH141">
            <v>207633.66000000003</v>
          </cell>
          <cell r="BI141">
            <v>207633.66000000003</v>
          </cell>
          <cell r="BJ141">
            <v>207633.66000000003</v>
          </cell>
          <cell r="BK141">
            <v>207633.66000000003</v>
          </cell>
        </row>
        <row r="143">
          <cell r="AR143">
            <v>0</v>
          </cell>
          <cell r="AS143">
            <v>0</v>
          </cell>
          <cell r="AT143">
            <v>267461.02500000026</v>
          </cell>
          <cell r="AU143">
            <v>802383.07500000112</v>
          </cell>
          <cell r="AV143">
            <v>1069844.100000001</v>
          </cell>
          <cell r="AW143">
            <v>1069844.100000001</v>
          </cell>
          <cell r="AX143">
            <v>1069844.100000001</v>
          </cell>
          <cell r="AY143">
            <v>1069844.100000001</v>
          </cell>
          <cell r="AZ143">
            <v>1069844.100000001</v>
          </cell>
          <cell r="BA143">
            <v>1069844.100000001</v>
          </cell>
          <cell r="BB143">
            <v>1069844.100000001</v>
          </cell>
          <cell r="BC143">
            <v>1069844.100000001</v>
          </cell>
          <cell r="BD143">
            <v>1069844.100000001</v>
          </cell>
          <cell r="BE143">
            <v>1069844.100000001</v>
          </cell>
          <cell r="BF143">
            <v>1069844.100000001</v>
          </cell>
          <cell r="BG143">
            <v>1069844.100000001</v>
          </cell>
          <cell r="BH143">
            <v>1069844.100000001</v>
          </cell>
          <cell r="BI143">
            <v>1069844.100000001</v>
          </cell>
          <cell r="BJ143">
            <v>1069844.100000001</v>
          </cell>
          <cell r="BK143">
            <v>1069844.100000001</v>
          </cell>
        </row>
      </sheetData>
      <sheetData sheetId="18">
        <row r="42">
          <cell r="M42">
            <v>0.8</v>
          </cell>
          <cell r="Z42">
            <v>0</v>
          </cell>
          <cell r="AA42">
            <v>0</v>
          </cell>
          <cell r="AB42">
            <v>87886.175000000003</v>
          </cell>
          <cell r="AC42">
            <v>263658.52500000002</v>
          </cell>
          <cell r="AD42">
            <v>351544.7</v>
          </cell>
          <cell r="AE42">
            <v>351544.7</v>
          </cell>
          <cell r="AF42">
            <v>351544.7</v>
          </cell>
          <cell r="AG42">
            <v>351544.7</v>
          </cell>
          <cell r="AH42">
            <v>351544.7</v>
          </cell>
          <cell r="AI42">
            <v>351544.7</v>
          </cell>
          <cell r="AJ42">
            <v>351544.7</v>
          </cell>
          <cell r="AK42">
            <v>351544.7</v>
          </cell>
          <cell r="AL42">
            <v>351544.7</v>
          </cell>
          <cell r="AM42">
            <v>351544.7</v>
          </cell>
          <cell r="AN42">
            <v>351544.7</v>
          </cell>
          <cell r="AO42">
            <v>351544.7</v>
          </cell>
          <cell r="AP42">
            <v>351544.7</v>
          </cell>
          <cell r="AQ42">
            <v>351544.7</v>
          </cell>
          <cell r="AR42">
            <v>351544.7</v>
          </cell>
          <cell r="AS42">
            <v>351544.7</v>
          </cell>
        </row>
      </sheetData>
      <sheetData sheetId="19"/>
      <sheetData sheetId="20"/>
      <sheetData sheetId="21"/>
      <sheetData sheetId="22"/>
      <sheetData sheetId="23"/>
      <sheetData sheetId="24"/>
      <sheetData sheetId="25">
        <row r="25">
          <cell r="G25">
            <v>27734.443069284582</v>
          </cell>
        </row>
        <row r="47">
          <cell r="F47">
            <v>507598.98342315498</v>
          </cell>
        </row>
      </sheetData>
      <sheetData sheetId="26">
        <row r="13">
          <cell r="E13">
            <v>5400000</v>
          </cell>
          <cell r="F13">
            <v>7248000</v>
          </cell>
          <cell r="G13">
            <v>7451940</v>
          </cell>
          <cell r="H13">
            <v>7661998.2000000002</v>
          </cell>
          <cell r="I13">
            <v>7878358.1459999997</v>
          </cell>
          <cell r="J13">
            <v>8101208.8903799988</v>
          </cell>
          <cell r="K13">
            <v>8330745.1570913997</v>
          </cell>
          <cell r="L13">
            <v>8567167.5118041411</v>
          </cell>
          <cell r="M13">
            <v>8810682.5371582657</v>
          </cell>
          <cell r="N13">
            <v>9061503.0132730138</v>
          </cell>
          <cell r="O13">
            <v>9319848.1036712043</v>
          </cell>
          <cell r="P13">
            <v>9585943.5467813406</v>
          </cell>
          <cell r="Q13">
            <v>9860021.8531847782</v>
          </cell>
          <cell r="R13">
            <v>10142322.508780321</v>
          </cell>
          <cell r="S13">
            <v>10433092.184043733</v>
          </cell>
          <cell r="T13">
            <v>10732584.949565046</v>
          </cell>
          <cell r="U13">
            <v>11041062.498051995</v>
          </cell>
          <cell r="V13">
            <v>11358794.372993555</v>
          </cell>
          <cell r="W13">
            <v>11686058.204183361</v>
          </cell>
          <cell r="X13">
            <v>12023139.950308861</v>
          </cell>
        </row>
        <row r="52">
          <cell r="E52">
            <v>10125000</v>
          </cell>
          <cell r="F52">
            <v>9000000</v>
          </cell>
          <cell r="G52">
            <v>3375000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row>
        <row r="89">
          <cell r="E89">
            <v>315000</v>
          </cell>
          <cell r="F89">
            <v>432600</v>
          </cell>
          <cell r="G89">
            <v>445578</v>
          </cell>
          <cell r="H89">
            <v>458945.34</v>
          </cell>
          <cell r="I89">
            <v>472713.70019999996</v>
          </cell>
          <cell r="J89">
            <v>486895.11120599991</v>
          </cell>
          <cell r="K89">
            <v>501501.96454217995</v>
          </cell>
          <cell r="L89">
            <v>516547.02347844536</v>
          </cell>
          <cell r="M89">
            <v>532043.43418279872</v>
          </cell>
          <cell r="N89">
            <v>548004.73720828269</v>
          </cell>
          <cell r="O89">
            <v>564444.87932453118</v>
          </cell>
          <cell r="P89">
            <v>581378.22570426716</v>
          </cell>
          <cell r="Q89">
            <v>598819.57247539505</v>
          </cell>
          <cell r="R89">
            <v>616784.15964965685</v>
          </cell>
          <cell r="S89">
            <v>635287.68443914666</v>
          </cell>
          <cell r="T89">
            <v>654346.31497232104</v>
          </cell>
          <cell r="U89">
            <v>673976.70442149055</v>
          </cell>
          <cell r="V89">
            <v>694196.00555413531</v>
          </cell>
          <cell r="W89">
            <v>715021.8857207594</v>
          </cell>
          <cell r="X89">
            <v>736472.5422923821</v>
          </cell>
        </row>
        <row r="96">
          <cell r="E96">
            <v>843750</v>
          </cell>
          <cell r="F96">
            <v>750000</v>
          </cell>
          <cell r="G96">
            <v>281250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row>
      </sheetData>
      <sheetData sheetId="27">
        <row r="18">
          <cell r="E18">
            <v>3779868.0385044636</v>
          </cell>
          <cell r="F18">
            <v>4841375.2615479911</v>
          </cell>
          <cell r="G18">
            <v>9553969.8102299999</v>
          </cell>
          <cell r="H18">
            <v>9827088.9045368992</v>
          </cell>
          <cell r="I18">
            <v>10108401.571673006</v>
          </cell>
          <cell r="J18">
            <v>10398153.618823199</v>
          </cell>
          <cell r="K18">
            <v>10696598.227387892</v>
          </cell>
          <cell r="L18">
            <v>11003996.17420953</v>
          </cell>
          <cell r="M18">
            <v>11320616.059435816</v>
          </cell>
          <cell r="N18">
            <v>11646734.54121889</v>
          </cell>
          <cell r="O18">
            <v>11982636.577455455</v>
          </cell>
          <cell r="P18">
            <v>12328615.674779121</v>
          </cell>
          <cell r="Q18">
            <v>12684974.145022493</v>
          </cell>
          <cell r="R18">
            <v>13052023.369373169</v>
          </cell>
          <cell r="S18">
            <v>13430084.070454365</v>
          </cell>
          <cell r="T18">
            <v>13819486.592567997</v>
          </cell>
          <cell r="U18">
            <v>14220571.190345036</v>
          </cell>
          <cell r="V18">
            <v>14633688.326055385</v>
          </cell>
          <cell r="W18">
            <v>15059198.975837046</v>
          </cell>
          <cell r="X18">
            <v>15497474.945112159</v>
          </cell>
        </row>
        <row r="58">
          <cell r="E58">
            <v>7300000</v>
          </cell>
          <cell r="F58">
            <v>5250000</v>
          </cell>
          <cell r="G58">
            <v>5250000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row>
        <row r="95">
          <cell r="E95">
            <v>315000</v>
          </cell>
          <cell r="F95">
            <v>324450</v>
          </cell>
          <cell r="G95">
            <v>334183.5</v>
          </cell>
          <cell r="H95">
            <v>344209.005</v>
          </cell>
          <cell r="I95">
            <v>354535.27515</v>
          </cell>
          <cell r="J95">
            <v>365171.33340449998</v>
          </cell>
          <cell r="K95">
            <v>376126.47340663499</v>
          </cell>
          <cell r="L95">
            <v>387410.26760883402</v>
          </cell>
          <cell r="M95">
            <v>399032.57563709904</v>
          </cell>
          <cell r="N95">
            <v>411003.55290621199</v>
          </cell>
          <cell r="O95">
            <v>423333.65949339839</v>
          </cell>
          <cell r="P95">
            <v>436033.66927820031</v>
          </cell>
          <cell r="Q95">
            <v>449114.67935654626</v>
          </cell>
          <cell r="R95">
            <v>462588.11973724264</v>
          </cell>
          <cell r="S95">
            <v>476465.76332935999</v>
          </cell>
          <cell r="T95">
            <v>490759.73622924078</v>
          </cell>
          <cell r="U95">
            <v>505482.52831611794</v>
          </cell>
          <cell r="V95">
            <v>520647.00416560145</v>
          </cell>
          <cell r="W95">
            <v>536266.41429056949</v>
          </cell>
          <cell r="X95">
            <v>552354.40671928658</v>
          </cell>
        </row>
        <row r="101">
          <cell r="E101">
            <v>399859.55056179775</v>
          </cell>
          <cell r="F101">
            <v>287570.2247191011</v>
          </cell>
          <cell r="G101">
            <v>287570.2247191011</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row>
      </sheetData>
      <sheetData sheetId="28"/>
      <sheetData sheetId="29">
        <row r="51">
          <cell r="G51">
            <v>6113173.6399999997</v>
          </cell>
          <cell r="H51">
            <v>6127573.6399999997</v>
          </cell>
          <cell r="I51">
            <v>6142405.6399999997</v>
          </cell>
          <cell r="J51">
            <v>6157682.5999999996</v>
          </cell>
          <cell r="K51">
            <v>6173417.8687999994</v>
          </cell>
          <cell r="L51">
            <v>6189625.1956639998</v>
          </cell>
          <cell r="M51">
            <v>6206318.7423339197</v>
          </cell>
          <cell r="N51">
            <v>6223513.0954039376</v>
          </cell>
          <cell r="O51">
            <v>6241223.2790660551</v>
          </cell>
          <cell r="P51">
            <v>6259464.7682380369</v>
          </cell>
          <cell r="Q51">
            <v>6278253.5020851782</v>
          </cell>
          <cell r="R51">
            <v>6297605.8979477333</v>
          </cell>
          <cell r="S51">
            <v>6317538.8656861652</v>
          </cell>
          <cell r="T51">
            <v>6338069.822456751</v>
          </cell>
          <cell r="U51">
            <v>6359216.7079304531</v>
          </cell>
          <cell r="V51">
            <v>6380997.9999683667</v>
          </cell>
          <cell r="W51">
            <v>6403432.7307674177</v>
          </cell>
          <cell r="X51">
            <v>6426540.5034904405</v>
          </cell>
          <cell r="Y51">
            <v>6450341.5093951542</v>
          </cell>
          <cell r="Z51">
            <v>6474856.5454770084</v>
          </cell>
        </row>
        <row r="100">
          <cell r="G100">
            <v>5052875</v>
          </cell>
          <cell r="H100">
            <v>4589000</v>
          </cell>
          <cell r="I100">
            <v>4261500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row>
      </sheetData>
      <sheetData sheetId="30">
        <row r="11">
          <cell r="B11" t="str">
            <v>Business Deliver Serv (449)</v>
          </cell>
          <cell r="C11" t="str">
            <v>BT_4321</v>
          </cell>
          <cell r="F11" t="str">
            <v>AE_3300</v>
          </cell>
          <cell r="G11">
            <v>35</v>
          </cell>
          <cell r="H11">
            <v>5768785</v>
          </cell>
        </row>
        <row r="12">
          <cell r="B12" t="str">
            <v>Business Tech Dev (450)</v>
          </cell>
          <cell r="C12" t="str">
            <v>BT_4331</v>
          </cell>
          <cell r="F12" t="str">
            <v>AE_3200</v>
          </cell>
          <cell r="G12">
            <v>21</v>
          </cell>
          <cell r="H12">
            <v>2789682</v>
          </cell>
        </row>
        <row r="13">
          <cell r="B13" t="str">
            <v>Business Tech Dev (453)</v>
          </cell>
          <cell r="C13" t="str">
            <v>BT_4330</v>
          </cell>
          <cell r="F13" t="str">
            <v>AE_3400</v>
          </cell>
          <cell r="G13">
            <v>34</v>
          </cell>
          <cell r="H13">
            <v>2182495</v>
          </cell>
        </row>
        <row r="14">
          <cell r="B14" t="str">
            <v>Business Tech Support (456)</v>
          </cell>
          <cell r="C14" t="str">
            <v>BT_4322</v>
          </cell>
          <cell r="F14" t="str">
            <v>AE_4500</v>
          </cell>
          <cell r="G14">
            <v>8</v>
          </cell>
          <cell r="H14">
            <v>1413345</v>
          </cell>
        </row>
        <row r="15">
          <cell r="B15" t="str">
            <v>Business Tech Support (461)</v>
          </cell>
          <cell r="C15" t="str">
            <v>BT_4323</v>
          </cell>
          <cell r="F15" t="str">
            <v>AE_6000</v>
          </cell>
          <cell r="G15">
            <v>21</v>
          </cell>
          <cell r="H15">
            <v>2415874</v>
          </cell>
        </row>
        <row r="16">
          <cell r="B16" t="str">
            <v>Client Svcs and Network Mgmt (467)</v>
          </cell>
          <cell r="C16" t="str">
            <v>BT_4350</v>
          </cell>
          <cell r="F16" t="str">
            <v>AE_4400</v>
          </cell>
          <cell r="G16">
            <v>18</v>
          </cell>
          <cell r="H16">
            <v>2299555</v>
          </cell>
        </row>
        <row r="17">
          <cell r="B17" t="str">
            <v>Computer Operations (460)</v>
          </cell>
          <cell r="C17" t="str">
            <v>BT_4348</v>
          </cell>
          <cell r="F17" t="str">
            <v>AE_2100</v>
          </cell>
          <cell r="G17">
            <v>10</v>
          </cell>
          <cell r="H17">
            <v>1824333</v>
          </cell>
        </row>
        <row r="18">
          <cell r="B18" t="str">
            <v>Help Desk (468)</v>
          </cell>
          <cell r="C18" t="str">
            <v>BT_4352</v>
          </cell>
          <cell r="F18" t="str">
            <v>AE_2200</v>
          </cell>
          <cell r="G18">
            <v>33</v>
          </cell>
          <cell r="H18">
            <v>3305008</v>
          </cell>
        </row>
        <row r="19">
          <cell r="B19" t="str">
            <v>Management (454)</v>
          </cell>
          <cell r="C19" t="str">
            <v>BT_4300</v>
          </cell>
          <cell r="F19" t="str">
            <v>AE_1100</v>
          </cell>
          <cell r="H19">
            <v>2102102</v>
          </cell>
        </row>
        <row r="20">
          <cell r="B20" t="str">
            <v>Technical Services (471)</v>
          </cell>
          <cell r="C20" t="str">
            <v>BT_4340</v>
          </cell>
          <cell r="F20" t="str">
            <v>AE_0000</v>
          </cell>
          <cell r="H20">
            <v>5529113</v>
          </cell>
        </row>
        <row r="21">
          <cell r="B21" t="str">
            <v>Technical Support (462)</v>
          </cell>
          <cell r="C21" t="str">
            <v>BT_4342</v>
          </cell>
        </row>
        <row r="23">
          <cell r="B23" t="str">
            <v>Auditing and Information Management (321)</v>
          </cell>
          <cell r="C23" t="str">
            <v>CO_4266</v>
          </cell>
        </row>
        <row r="24">
          <cell r="B24" t="str">
            <v>Cabinet Concierge (489)</v>
          </cell>
          <cell r="C24" t="str">
            <v>CO_4202</v>
          </cell>
        </row>
        <row r="25">
          <cell r="B25" t="str">
            <v>Certificate Administration (318)</v>
          </cell>
          <cell r="C25" t="str">
            <v>CO_4262</v>
          </cell>
        </row>
        <row r="26">
          <cell r="B26" t="str">
            <v>Contract Services 2 &amp; Customer Complaint (474)</v>
          </cell>
          <cell r="C26" t="str">
            <v>CO_4214</v>
          </cell>
        </row>
        <row r="27">
          <cell r="B27" t="str">
            <v>Core Operations (310)</v>
          </cell>
          <cell r="C27" t="str">
            <v>CO_4200</v>
          </cell>
        </row>
        <row r="28">
          <cell r="B28" t="str">
            <v>Core Operations Support (322)</v>
          </cell>
          <cell r="C28" t="str">
            <v>CO_4229</v>
          </cell>
        </row>
        <row r="29">
          <cell r="B29" t="str">
            <v>Core Ops Project Team (482)</v>
          </cell>
          <cell r="C29" t="str">
            <v>CO_4217</v>
          </cell>
        </row>
        <row r="30">
          <cell r="B30" t="str">
            <v>Customer Service (485)</v>
          </cell>
          <cell r="C30" t="str">
            <v>CO_4222</v>
          </cell>
        </row>
        <row r="31">
          <cell r="B31" t="str">
            <v>Customer Service Support (486)</v>
          </cell>
          <cell r="C31" t="str">
            <v>CO_4220</v>
          </cell>
        </row>
        <row r="32">
          <cell r="B32" t="str">
            <v>Field Customer Service (342)</v>
          </cell>
          <cell r="C32" t="str">
            <v>CO_4270</v>
          </cell>
        </row>
        <row r="33">
          <cell r="B33" t="str">
            <v>Health and Disability Benefits (725)</v>
          </cell>
          <cell r="C33" t="str">
            <v>CO_4296</v>
          </cell>
        </row>
        <row r="34">
          <cell r="B34" t="str">
            <v>Indexing and Certificate Packaging (495)</v>
          </cell>
          <cell r="C34" t="str">
            <v>CO_4210</v>
          </cell>
        </row>
        <row r="35">
          <cell r="B35" t="str">
            <v>Life &amp; Annuity Entry Team (306)</v>
          </cell>
          <cell r="C35" t="str">
            <v>CO_4252</v>
          </cell>
        </row>
        <row r="36">
          <cell r="B36" t="str">
            <v>Life &amp; Annuity Issue Team (304)</v>
          </cell>
          <cell r="C36" t="str">
            <v>CO_4250</v>
          </cell>
        </row>
        <row r="37">
          <cell r="B37" t="str">
            <v>Life Claims (720)</v>
          </cell>
          <cell r="C37" t="str">
            <v>CO_4290</v>
          </cell>
        </row>
        <row r="38">
          <cell r="B38" t="str">
            <v>Med Fees (343)</v>
          </cell>
          <cell r="C38" t="str">
            <v>CO_4272</v>
          </cell>
        </row>
        <row r="39">
          <cell r="B39" t="str">
            <v>Member Services (487)</v>
          </cell>
          <cell r="C39" t="str">
            <v>CO_4221</v>
          </cell>
        </row>
        <row r="40">
          <cell r="B40" t="str">
            <v>Organizational Readiness &amp; Chg. Mgt (484)</v>
          </cell>
          <cell r="C40" t="str">
            <v>CO_4206</v>
          </cell>
        </row>
        <row r="41">
          <cell r="B41" t="str">
            <v>Payment &amp; Fund Distribution (465)</v>
          </cell>
          <cell r="C41" t="str">
            <v>CO_4209</v>
          </cell>
        </row>
        <row r="42">
          <cell r="B42" t="str">
            <v>Process Efficiency (483)</v>
          </cell>
          <cell r="C42" t="str">
            <v>CO_4219</v>
          </cell>
        </row>
        <row r="43">
          <cell r="B43" t="str">
            <v>Suitability and Replacement (341)</v>
          </cell>
          <cell r="C43" t="str">
            <v>CO_4268</v>
          </cell>
        </row>
        <row r="44">
          <cell r="B44" t="str">
            <v>Underwriter 1 (308)</v>
          </cell>
          <cell r="C44" t="str">
            <v>CO_4254</v>
          </cell>
        </row>
        <row r="45">
          <cell r="B45" t="str">
            <v>Underwriter 2 (309)</v>
          </cell>
          <cell r="C45" t="str">
            <v>CO_4256</v>
          </cell>
        </row>
        <row r="47">
          <cell r="B47" t="str">
            <v>Accounting</v>
          </cell>
          <cell r="C47" t="str">
            <v>AE_3300</v>
          </cell>
        </row>
        <row r="48">
          <cell r="B48" t="str">
            <v>Actuary</v>
          </cell>
          <cell r="C48" t="str">
            <v>AE_3200</v>
          </cell>
        </row>
        <row r="49">
          <cell r="B49" t="str">
            <v>Admin Services</v>
          </cell>
          <cell r="C49" t="str">
            <v>AE_3400</v>
          </cell>
        </row>
        <row r="50">
          <cell r="B50" t="str">
            <v>EPMO</v>
          </cell>
          <cell r="C50" t="str">
            <v>AE_4500</v>
          </cell>
        </row>
        <row r="51">
          <cell r="B51" t="str">
            <v>Fraternal</v>
          </cell>
          <cell r="C51" t="str">
            <v>AE_6000</v>
          </cell>
        </row>
        <row r="52">
          <cell r="B52" t="str">
            <v>Human Resources</v>
          </cell>
          <cell r="C52" t="str">
            <v>AE_4400</v>
          </cell>
        </row>
        <row r="53">
          <cell r="B53" t="str">
            <v>Legal</v>
          </cell>
          <cell r="C53" t="str">
            <v>AE_2100</v>
          </cell>
        </row>
        <row r="54">
          <cell r="B54" t="str">
            <v>Marketing</v>
          </cell>
          <cell r="C54" t="str">
            <v>AE_2200</v>
          </cell>
        </row>
        <row r="55">
          <cell r="B55" t="str">
            <v>Special Projects</v>
          </cell>
          <cell r="C55" t="str">
            <v>AE_1100</v>
          </cell>
        </row>
        <row r="56">
          <cell r="B56" t="str">
            <v>Senior Management</v>
          </cell>
          <cell r="C56" t="str">
            <v>AE_0000</v>
          </cell>
        </row>
      </sheetData>
      <sheetData sheetId="31">
        <row r="16">
          <cell r="B16" t="str">
            <v>BA/QA</v>
          </cell>
          <cell r="C16">
            <v>44.21</v>
          </cell>
          <cell r="D16">
            <v>89083.150000000009</v>
          </cell>
        </row>
        <row r="17">
          <cell r="B17" t="str">
            <v xml:space="preserve">Business Resource </v>
          </cell>
          <cell r="C17">
            <v>33.74</v>
          </cell>
          <cell r="D17">
            <v>67986.100000000006</v>
          </cell>
        </row>
        <row r="18">
          <cell r="B18" t="str">
            <v>Consult (Cross USA)</v>
          </cell>
          <cell r="C18">
            <v>75.84</v>
          </cell>
          <cell r="D18">
            <v>152817.60000000001</v>
          </cell>
        </row>
        <row r="19">
          <cell r="B19" t="str">
            <v>DB Admin</v>
          </cell>
          <cell r="C19">
            <v>62.89</v>
          </cell>
          <cell r="D19">
            <v>126723.35</v>
          </cell>
        </row>
        <row r="20">
          <cell r="B20" t="str">
            <v>DB Analyst</v>
          </cell>
          <cell r="C20">
            <v>55.94</v>
          </cell>
          <cell r="D20">
            <v>112719.09999999999</v>
          </cell>
        </row>
        <row r="21">
          <cell r="B21" t="str">
            <v>Director</v>
          </cell>
          <cell r="C21">
            <v>138.69</v>
          </cell>
          <cell r="D21">
            <v>279460.34999999998</v>
          </cell>
        </row>
        <row r="22">
          <cell r="B22" t="str">
            <v>Help Desk</v>
          </cell>
          <cell r="C22">
            <v>33.4</v>
          </cell>
          <cell r="D22">
            <v>67301</v>
          </cell>
        </row>
        <row r="23">
          <cell r="B23" t="str">
            <v>Network Support</v>
          </cell>
          <cell r="C23">
            <v>55.94</v>
          </cell>
          <cell r="D23">
            <v>112719.09999999999</v>
          </cell>
        </row>
        <row r="24">
          <cell r="B24" t="str">
            <v>Operations Analyst</v>
          </cell>
          <cell r="C24">
            <v>55.94</v>
          </cell>
          <cell r="D24">
            <v>112719.09999999999</v>
          </cell>
        </row>
        <row r="25">
          <cell r="B25" t="str">
            <v>Operations Support</v>
          </cell>
          <cell r="C25">
            <v>33.94</v>
          </cell>
          <cell r="D25">
            <v>68389.099999999991</v>
          </cell>
        </row>
        <row r="26">
          <cell r="B26" t="str">
            <v>Programmer/Sys Analyst</v>
          </cell>
          <cell r="C26">
            <v>55.94</v>
          </cell>
          <cell r="D26">
            <v>112719.09999999999</v>
          </cell>
        </row>
        <row r="27">
          <cell r="B27" t="str">
            <v>Resource Mgr/Architects/Consultants</v>
          </cell>
          <cell r="C27">
            <v>73.790000000000006</v>
          </cell>
          <cell r="D27">
            <v>148686.85</v>
          </cell>
        </row>
        <row r="28">
          <cell r="B28" t="str">
            <v>Sys Analyst (Tech Serv/Tech Support)</v>
          </cell>
          <cell r="C28">
            <v>44.21</v>
          </cell>
          <cell r="D28">
            <v>89083.150000000009</v>
          </cell>
        </row>
        <row r="29">
          <cell r="B29" t="str">
            <v>Systems Administrator</v>
          </cell>
          <cell r="C29">
            <v>62.89</v>
          </cell>
          <cell r="D29">
            <v>126723.35</v>
          </cell>
        </row>
        <row r="30">
          <cell r="B30" t="str">
            <v>Systems Programmer</v>
          </cell>
          <cell r="C30">
            <v>55.94</v>
          </cell>
          <cell r="D30">
            <v>112719.09999999999</v>
          </cell>
        </row>
        <row r="31">
          <cell r="B31" t="str">
            <v>Telecom Support</v>
          </cell>
          <cell r="C31">
            <v>55.94</v>
          </cell>
          <cell r="D31">
            <v>112719.09999999999</v>
          </cell>
        </row>
        <row r="32">
          <cell r="B32" t="str">
            <v>VP</v>
          </cell>
          <cell r="C32">
            <v>138.69</v>
          </cell>
          <cell r="D32">
            <v>279460.34999999998</v>
          </cell>
        </row>
        <row r="34">
          <cell r="B34" t="str">
            <v>VP/Director</v>
          </cell>
          <cell r="C34">
            <v>138.69</v>
          </cell>
          <cell r="D34">
            <v>279460.34999999998</v>
          </cell>
        </row>
        <row r="35">
          <cell r="B35" t="str">
            <v>Business Manager</v>
          </cell>
          <cell r="C35">
            <v>53.19</v>
          </cell>
          <cell r="D35">
            <v>107177.84999999999</v>
          </cell>
        </row>
        <row r="36">
          <cell r="B36" t="str">
            <v>Business Specialist</v>
          </cell>
          <cell r="C36">
            <v>44.21</v>
          </cell>
          <cell r="D36">
            <v>89083.150000000009</v>
          </cell>
        </row>
        <row r="37">
          <cell r="B37" t="str">
            <v>Business Resource</v>
          </cell>
          <cell r="C37">
            <v>33.24</v>
          </cell>
          <cell r="D37">
            <v>66978.600000000006</v>
          </cell>
        </row>
        <row r="39">
          <cell r="B39" t="str">
            <v>Actuary</v>
          </cell>
          <cell r="C39">
            <v>25</v>
          </cell>
          <cell r="D39">
            <v>50375</v>
          </cell>
        </row>
        <row r="40">
          <cell r="B40" t="str">
            <v>Project Manager</v>
          </cell>
          <cell r="C40">
            <v>55</v>
          </cell>
          <cell r="D40">
            <v>110825</v>
          </cell>
        </row>
        <row r="41">
          <cell r="B41" t="str">
            <v>-Enter Role 2-</v>
          </cell>
          <cell r="C41">
            <v>75</v>
          </cell>
          <cell r="D41">
            <v>151125</v>
          </cell>
        </row>
        <row r="42">
          <cell r="B42" t="str">
            <v>-Enter Role 3-</v>
          </cell>
          <cell r="C42">
            <v>100</v>
          </cell>
          <cell r="D42">
            <v>201500</v>
          </cell>
        </row>
        <row r="43">
          <cell r="B43" t="str">
            <v>-Enter Role 4-</v>
          </cell>
          <cell r="D43">
            <v>0</v>
          </cell>
        </row>
        <row r="44">
          <cell r="B44" t="str">
            <v>-Enter Role 5-</v>
          </cell>
        </row>
        <row r="45">
          <cell r="B45" t="str">
            <v>-Enter Role 6-</v>
          </cell>
        </row>
      </sheetData>
      <sheetData sheetId="32">
        <row r="10">
          <cell r="M10" t="str">
            <v>Total 1</v>
          </cell>
          <cell r="N10" t="str">
            <v>Ingenium 1</v>
          </cell>
          <cell r="O10" t="str">
            <v>Legacy 1</v>
          </cell>
          <cell r="P10" t="str">
            <v>Total 2</v>
          </cell>
          <cell r="Q10" t="str">
            <v>Ingenium 2</v>
          </cell>
          <cell r="R10" t="str">
            <v>Legacy 2</v>
          </cell>
          <cell r="S10" t="str">
            <v>Total 3</v>
          </cell>
          <cell r="T10" t="str">
            <v>Ingenium 3</v>
          </cell>
          <cell r="U10" t="str">
            <v>Legacy 3</v>
          </cell>
          <cell r="V10" t="str">
            <v>Total 4</v>
          </cell>
          <cell r="W10" t="str">
            <v>Ingenium 4</v>
          </cell>
          <cell r="X10" t="str">
            <v>Legacy 4</v>
          </cell>
          <cell r="Y10" t="str">
            <v>Total 5</v>
          </cell>
          <cell r="Z10" t="str">
            <v>Ingenium 5</v>
          </cell>
          <cell r="AA10" t="str">
            <v>Legacy 5</v>
          </cell>
          <cell r="AB10" t="str">
            <v>Total 6</v>
          </cell>
          <cell r="AC10" t="str">
            <v>Ingenium 6</v>
          </cell>
          <cell r="AD10" t="str">
            <v>Legacy 6</v>
          </cell>
          <cell r="AE10" t="str">
            <v>Total 7</v>
          </cell>
          <cell r="AF10" t="str">
            <v>Ingenium 7</v>
          </cell>
          <cell r="AG10" t="str">
            <v>Legacy 7</v>
          </cell>
          <cell r="AH10" t="str">
            <v>Total 8</v>
          </cell>
          <cell r="AI10" t="str">
            <v>Ingenium 8</v>
          </cell>
          <cell r="AJ10" t="str">
            <v>Legacy 8</v>
          </cell>
          <cell r="AK10" t="str">
            <v>Total 9</v>
          </cell>
          <cell r="AL10" t="str">
            <v>Ingenium 9</v>
          </cell>
          <cell r="AM10" t="str">
            <v>Legacy 9</v>
          </cell>
          <cell r="AN10" t="str">
            <v>Total 10</v>
          </cell>
          <cell r="AO10" t="str">
            <v>Ingenium 10</v>
          </cell>
          <cell r="AP10" t="str">
            <v>Legacy 10</v>
          </cell>
          <cell r="AQ10" t="str">
            <v>Total 11</v>
          </cell>
          <cell r="AR10" t="str">
            <v>Ingenium 11</v>
          </cell>
          <cell r="AS10" t="str">
            <v>Legacy 11</v>
          </cell>
          <cell r="AT10" t="str">
            <v>Total 12</v>
          </cell>
          <cell r="AU10" t="str">
            <v>Ingenium 12</v>
          </cell>
          <cell r="AV10" t="str">
            <v>Legacy 12</v>
          </cell>
          <cell r="AW10" t="str">
            <v>Total 13</v>
          </cell>
          <cell r="AX10" t="str">
            <v>Ingenium 13</v>
          </cell>
          <cell r="AY10" t="str">
            <v>Legacy 13</v>
          </cell>
          <cell r="AZ10" t="str">
            <v>Total 14</v>
          </cell>
          <cell r="BA10" t="str">
            <v>Ingenium 14</v>
          </cell>
          <cell r="BB10" t="str">
            <v>Legacy 14</v>
          </cell>
          <cell r="BC10" t="str">
            <v>Total 15</v>
          </cell>
          <cell r="BD10" t="str">
            <v>Ingenium 15</v>
          </cell>
          <cell r="BE10" t="str">
            <v>Legacy 15</v>
          </cell>
          <cell r="BF10" t="str">
            <v>Total 16</v>
          </cell>
          <cell r="BG10" t="str">
            <v>Ingenium 16</v>
          </cell>
          <cell r="BH10" t="str">
            <v>Legacy 16</v>
          </cell>
          <cell r="BI10" t="str">
            <v>Total 17</v>
          </cell>
          <cell r="BJ10" t="str">
            <v>Ingenium 17</v>
          </cell>
          <cell r="BK10" t="str">
            <v>Legacy 17</v>
          </cell>
          <cell r="BL10" t="str">
            <v>Total 18</v>
          </cell>
          <cell r="BM10" t="str">
            <v>Ingenium 18</v>
          </cell>
          <cell r="BN10" t="str">
            <v>Legacy 18</v>
          </cell>
          <cell r="BO10" t="str">
            <v>Total 19</v>
          </cell>
          <cell r="BP10" t="str">
            <v>Ingenium 19</v>
          </cell>
          <cell r="BQ10" t="str">
            <v>Legacy 19</v>
          </cell>
          <cell r="BR10" t="str">
            <v>Total 20</v>
          </cell>
          <cell r="BS10" t="str">
            <v>Ingenium 20</v>
          </cell>
          <cell r="BT10" t="str">
            <v>Legacy 20</v>
          </cell>
        </row>
        <row r="11">
          <cell r="L11" t="str">
            <v>Universal Life</v>
          </cell>
          <cell r="M11">
            <v>372237</v>
          </cell>
          <cell r="N11">
            <v>130</v>
          </cell>
          <cell r="O11">
            <v>372107</v>
          </cell>
          <cell r="P11">
            <v>372237</v>
          </cell>
          <cell r="Q11">
            <v>3852.37</v>
          </cell>
          <cell r="R11">
            <v>368384.63</v>
          </cell>
          <cell r="S11">
            <v>372237</v>
          </cell>
          <cell r="T11">
            <v>7574.74</v>
          </cell>
          <cell r="U11">
            <v>364662.26</v>
          </cell>
          <cell r="V11">
            <v>372237</v>
          </cell>
          <cell r="W11">
            <v>11297.109999999999</v>
          </cell>
          <cell r="X11">
            <v>360939.89</v>
          </cell>
          <cell r="Y11">
            <v>372237</v>
          </cell>
          <cell r="Z11">
            <v>15019.48</v>
          </cell>
          <cell r="AA11">
            <v>357217.52</v>
          </cell>
          <cell r="AB11">
            <v>372237</v>
          </cell>
          <cell r="AC11">
            <v>18741.850000000002</v>
          </cell>
          <cell r="AD11">
            <v>353495.15</v>
          </cell>
          <cell r="AE11">
            <v>372237</v>
          </cell>
          <cell r="AF11">
            <v>22464.219999999998</v>
          </cell>
          <cell r="AG11">
            <v>349772.78</v>
          </cell>
          <cell r="AH11">
            <v>372237</v>
          </cell>
          <cell r="AI11">
            <v>26186.590000000004</v>
          </cell>
          <cell r="AJ11">
            <v>346050.41</v>
          </cell>
          <cell r="AK11">
            <v>372237</v>
          </cell>
          <cell r="AL11">
            <v>29908.960000000003</v>
          </cell>
          <cell r="AM11">
            <v>342328.04</v>
          </cell>
          <cell r="AN11">
            <v>372237</v>
          </cell>
          <cell r="AO11">
            <v>33631.33</v>
          </cell>
          <cell r="AP11">
            <v>338605.67</v>
          </cell>
          <cell r="AQ11">
            <v>372237</v>
          </cell>
          <cell r="AR11">
            <v>37353.700000000004</v>
          </cell>
          <cell r="AS11">
            <v>334883.3</v>
          </cell>
          <cell r="AT11">
            <v>372237</v>
          </cell>
          <cell r="AU11">
            <v>41076.07</v>
          </cell>
          <cell r="AV11">
            <v>331160.93</v>
          </cell>
          <cell r="AW11">
            <v>372237</v>
          </cell>
          <cell r="AX11">
            <v>44798.44</v>
          </cell>
          <cell r="AY11">
            <v>327438.56</v>
          </cell>
          <cell r="AZ11">
            <v>372237</v>
          </cell>
          <cell r="BA11">
            <v>48520.810000000005</v>
          </cell>
          <cell r="BB11">
            <v>323716.19</v>
          </cell>
          <cell r="BC11">
            <v>372237</v>
          </cell>
          <cell r="BD11">
            <v>52243.180000000008</v>
          </cell>
          <cell r="BE11">
            <v>319993.82</v>
          </cell>
          <cell r="BF11">
            <v>372237</v>
          </cell>
          <cell r="BG11">
            <v>55965.55</v>
          </cell>
          <cell r="BH11">
            <v>316271.45</v>
          </cell>
          <cell r="BI11">
            <v>372237</v>
          </cell>
          <cell r="BJ11">
            <v>59687.920000000006</v>
          </cell>
          <cell r="BK11">
            <v>312549.08</v>
          </cell>
          <cell r="BL11">
            <v>372237</v>
          </cell>
          <cell r="BM11">
            <v>63410.290000000008</v>
          </cell>
          <cell r="BN11">
            <v>308826.70999999996</v>
          </cell>
          <cell r="BO11">
            <v>372237</v>
          </cell>
          <cell r="BP11">
            <v>67132.66</v>
          </cell>
          <cell r="BQ11">
            <v>305104.33999999997</v>
          </cell>
          <cell r="BR11">
            <v>372237</v>
          </cell>
          <cell r="BS11">
            <v>70855.03</v>
          </cell>
          <cell r="BT11">
            <v>301381.96999999997</v>
          </cell>
        </row>
        <row r="12">
          <cell r="L12" t="str">
            <v>Whole Life</v>
          </cell>
          <cell r="M12">
            <v>305874</v>
          </cell>
          <cell r="N12">
            <v>29172</v>
          </cell>
          <cell r="O12">
            <v>276702</v>
          </cell>
          <cell r="P12">
            <v>305874</v>
          </cell>
          <cell r="Q12">
            <v>38348.22</v>
          </cell>
          <cell r="R12">
            <v>267525.78000000003</v>
          </cell>
          <cell r="S12">
            <v>305874</v>
          </cell>
          <cell r="T12">
            <v>47524.44</v>
          </cell>
          <cell r="U12">
            <v>258349.56</v>
          </cell>
          <cell r="V12">
            <v>305874</v>
          </cell>
          <cell r="W12">
            <v>56700.659999999996</v>
          </cell>
          <cell r="X12">
            <v>249173.34</v>
          </cell>
          <cell r="Y12">
            <v>305874</v>
          </cell>
          <cell r="Z12">
            <v>65876.88</v>
          </cell>
          <cell r="AA12">
            <v>239997.12</v>
          </cell>
          <cell r="AB12">
            <v>305874</v>
          </cell>
          <cell r="AC12">
            <v>75053.099999999991</v>
          </cell>
          <cell r="AD12">
            <v>230820.90000000002</v>
          </cell>
          <cell r="AE12">
            <v>305874</v>
          </cell>
          <cell r="AF12">
            <v>84229.319999999992</v>
          </cell>
          <cell r="AG12">
            <v>221644.68</v>
          </cell>
          <cell r="AH12">
            <v>305874</v>
          </cell>
          <cell r="AI12">
            <v>93405.54</v>
          </cell>
          <cell r="AJ12">
            <v>212468.46000000002</v>
          </cell>
          <cell r="AK12">
            <v>305874</v>
          </cell>
          <cell r="AL12">
            <v>102581.75999999999</v>
          </cell>
          <cell r="AM12">
            <v>203292.24</v>
          </cell>
          <cell r="AN12">
            <v>305874</v>
          </cell>
          <cell r="AO12">
            <v>111757.98000000001</v>
          </cell>
          <cell r="AP12">
            <v>194116.02</v>
          </cell>
          <cell r="AQ12">
            <v>305874</v>
          </cell>
          <cell r="AR12">
            <v>120934.2</v>
          </cell>
          <cell r="AS12">
            <v>184939.8</v>
          </cell>
          <cell r="AT12">
            <v>305874</v>
          </cell>
          <cell r="AU12">
            <v>130110.41999999998</v>
          </cell>
          <cell r="AV12">
            <v>175763.58000000002</v>
          </cell>
          <cell r="AW12">
            <v>305874</v>
          </cell>
          <cell r="AX12">
            <v>139286.63999999998</v>
          </cell>
          <cell r="AY12">
            <v>166587.36000000002</v>
          </cell>
          <cell r="AZ12">
            <v>305874</v>
          </cell>
          <cell r="BA12">
            <v>148462.86000000002</v>
          </cell>
          <cell r="BB12">
            <v>157411.13999999998</v>
          </cell>
          <cell r="BC12">
            <v>305874</v>
          </cell>
          <cell r="BD12">
            <v>157639.07999999999</v>
          </cell>
          <cell r="BE12">
            <v>148234.92000000001</v>
          </cell>
          <cell r="BF12">
            <v>305874</v>
          </cell>
          <cell r="BG12">
            <v>166815.29999999999</v>
          </cell>
          <cell r="BH12">
            <v>139058.70000000001</v>
          </cell>
          <cell r="BI12">
            <v>305874</v>
          </cell>
          <cell r="BJ12">
            <v>175991.52</v>
          </cell>
          <cell r="BK12">
            <v>129882.48000000001</v>
          </cell>
          <cell r="BL12">
            <v>305874</v>
          </cell>
          <cell r="BM12">
            <v>185167.74</v>
          </cell>
          <cell r="BN12">
            <v>120706.26000000001</v>
          </cell>
          <cell r="BO12">
            <v>305874</v>
          </cell>
          <cell r="BP12">
            <v>194343.96000000002</v>
          </cell>
          <cell r="BQ12">
            <v>111530.03999999998</v>
          </cell>
          <cell r="BR12">
            <v>305874</v>
          </cell>
          <cell r="BS12">
            <v>203520.18</v>
          </cell>
          <cell r="BT12">
            <v>102353.82</v>
          </cell>
        </row>
        <row r="13">
          <cell r="L13" t="str">
            <v>Term</v>
          </cell>
          <cell r="M13">
            <v>91575</v>
          </cell>
          <cell r="N13">
            <v>34860</v>
          </cell>
          <cell r="O13">
            <v>56715</v>
          </cell>
          <cell r="P13">
            <v>91575</v>
          </cell>
          <cell r="Q13">
            <v>37607.250000000007</v>
          </cell>
          <cell r="R13">
            <v>53967.749999999993</v>
          </cell>
          <cell r="S13">
            <v>91575</v>
          </cell>
          <cell r="T13">
            <v>40354.5</v>
          </cell>
          <cell r="U13">
            <v>51220.5</v>
          </cell>
          <cell r="V13">
            <v>91575</v>
          </cell>
          <cell r="W13">
            <v>43101.75</v>
          </cell>
          <cell r="X13">
            <v>48473.25</v>
          </cell>
          <cell r="Y13">
            <v>91575</v>
          </cell>
          <cell r="Z13">
            <v>45849</v>
          </cell>
          <cell r="AA13">
            <v>45726</v>
          </cell>
          <cell r="AB13">
            <v>91575</v>
          </cell>
          <cell r="AC13">
            <v>48596.250000000007</v>
          </cell>
          <cell r="AD13">
            <v>42978.749999999993</v>
          </cell>
          <cell r="AE13">
            <v>91575</v>
          </cell>
          <cell r="AF13">
            <v>51343.500000000007</v>
          </cell>
          <cell r="AG13">
            <v>40231.499999999993</v>
          </cell>
          <cell r="AH13">
            <v>91575</v>
          </cell>
          <cell r="AI13">
            <v>54090.75</v>
          </cell>
          <cell r="AJ13">
            <v>37484.25</v>
          </cell>
          <cell r="AK13">
            <v>91575</v>
          </cell>
          <cell r="AL13">
            <v>56838</v>
          </cell>
          <cell r="AM13">
            <v>34737</v>
          </cell>
          <cell r="AN13">
            <v>91575</v>
          </cell>
          <cell r="AO13">
            <v>59585.25</v>
          </cell>
          <cell r="AP13">
            <v>31989.75</v>
          </cell>
          <cell r="AQ13">
            <v>91575</v>
          </cell>
          <cell r="AR13">
            <v>62332.499999999993</v>
          </cell>
          <cell r="AS13">
            <v>29242.500000000007</v>
          </cell>
          <cell r="AT13">
            <v>91575</v>
          </cell>
          <cell r="AU13">
            <v>65079.75</v>
          </cell>
          <cell r="AV13">
            <v>26495.25</v>
          </cell>
          <cell r="AW13">
            <v>91575</v>
          </cell>
          <cell r="AX13">
            <v>67827</v>
          </cell>
          <cell r="AY13">
            <v>23748</v>
          </cell>
          <cell r="AZ13">
            <v>91575</v>
          </cell>
          <cell r="BA13">
            <v>70574.25</v>
          </cell>
          <cell r="BB13">
            <v>21000.75</v>
          </cell>
          <cell r="BC13">
            <v>91575</v>
          </cell>
          <cell r="BD13">
            <v>73321.5</v>
          </cell>
          <cell r="BE13">
            <v>18253.5</v>
          </cell>
          <cell r="BF13">
            <v>91575</v>
          </cell>
          <cell r="BG13">
            <v>76068.75</v>
          </cell>
          <cell r="BH13">
            <v>15506.25</v>
          </cell>
          <cell r="BI13">
            <v>91575</v>
          </cell>
          <cell r="BJ13">
            <v>78816</v>
          </cell>
          <cell r="BK13">
            <v>12759</v>
          </cell>
          <cell r="BL13">
            <v>91575</v>
          </cell>
          <cell r="BM13">
            <v>81563.25</v>
          </cell>
          <cell r="BN13">
            <v>10011.75</v>
          </cell>
          <cell r="BO13">
            <v>91575</v>
          </cell>
          <cell r="BP13">
            <v>84310.5</v>
          </cell>
          <cell r="BQ13">
            <v>7264.5</v>
          </cell>
          <cell r="BR13">
            <v>91575</v>
          </cell>
          <cell r="BS13">
            <v>87057.75</v>
          </cell>
          <cell r="BT13">
            <v>4517.25</v>
          </cell>
        </row>
        <row r="14">
          <cell r="L14" t="str">
            <v>Fixed Annuity</v>
          </cell>
          <cell r="M14">
            <v>83188</v>
          </cell>
          <cell r="N14">
            <v>20552</v>
          </cell>
          <cell r="O14">
            <v>62636</v>
          </cell>
          <cell r="P14">
            <v>83188</v>
          </cell>
          <cell r="Q14">
            <v>23047.64</v>
          </cell>
          <cell r="R14">
            <v>60140.36</v>
          </cell>
          <cell r="S14">
            <v>83188</v>
          </cell>
          <cell r="T14">
            <v>25543.279999999999</v>
          </cell>
          <cell r="U14">
            <v>57644.72</v>
          </cell>
          <cell r="V14">
            <v>83188</v>
          </cell>
          <cell r="W14">
            <v>28038.920000000002</v>
          </cell>
          <cell r="X14">
            <v>55149.08</v>
          </cell>
          <cell r="Y14">
            <v>83188</v>
          </cell>
          <cell r="Z14">
            <v>30534.560000000001</v>
          </cell>
          <cell r="AA14">
            <v>52653.440000000002</v>
          </cell>
          <cell r="AB14">
            <v>83188</v>
          </cell>
          <cell r="AC14">
            <v>33030.199999999997</v>
          </cell>
          <cell r="AD14">
            <v>50157.8</v>
          </cell>
          <cell r="AE14">
            <v>83188</v>
          </cell>
          <cell r="AF14">
            <v>35525.839999999997</v>
          </cell>
          <cell r="AG14">
            <v>47662.16</v>
          </cell>
          <cell r="AH14">
            <v>83188</v>
          </cell>
          <cell r="AI14">
            <v>38021.480000000003</v>
          </cell>
          <cell r="AJ14">
            <v>45166.52</v>
          </cell>
          <cell r="AK14">
            <v>83188</v>
          </cell>
          <cell r="AL14">
            <v>40517.120000000003</v>
          </cell>
          <cell r="AM14">
            <v>42670.879999999997</v>
          </cell>
          <cell r="AN14">
            <v>83188</v>
          </cell>
          <cell r="AO14">
            <v>43012.759999999995</v>
          </cell>
          <cell r="AP14">
            <v>40175.240000000005</v>
          </cell>
          <cell r="AQ14">
            <v>83188</v>
          </cell>
          <cell r="AR14">
            <v>45508.4</v>
          </cell>
          <cell r="AS14">
            <v>37679.599999999999</v>
          </cell>
          <cell r="AT14">
            <v>83188</v>
          </cell>
          <cell r="AU14">
            <v>48004.04</v>
          </cell>
          <cell r="AV14">
            <v>35183.96</v>
          </cell>
          <cell r="AW14">
            <v>83188</v>
          </cell>
          <cell r="AX14">
            <v>50499.680000000008</v>
          </cell>
          <cell r="AY14">
            <v>32688.319999999992</v>
          </cell>
          <cell r="AZ14">
            <v>83188</v>
          </cell>
          <cell r="BA14">
            <v>52995.320000000007</v>
          </cell>
          <cell r="BB14">
            <v>30192.679999999993</v>
          </cell>
          <cell r="BC14">
            <v>83188</v>
          </cell>
          <cell r="BD14">
            <v>55490.96</v>
          </cell>
          <cell r="BE14">
            <v>27697.040000000001</v>
          </cell>
          <cell r="BF14">
            <v>83188</v>
          </cell>
          <cell r="BG14">
            <v>57986.599999999991</v>
          </cell>
          <cell r="BH14">
            <v>25201.400000000009</v>
          </cell>
          <cell r="BI14">
            <v>83188</v>
          </cell>
          <cell r="BJ14">
            <v>60482.239999999998</v>
          </cell>
          <cell r="BK14">
            <v>22705.760000000002</v>
          </cell>
          <cell r="BL14">
            <v>83188</v>
          </cell>
          <cell r="BM14">
            <v>62977.88</v>
          </cell>
          <cell r="BN14">
            <v>20210.120000000003</v>
          </cell>
          <cell r="BO14">
            <v>83188</v>
          </cell>
          <cell r="BP14">
            <v>65473.52</v>
          </cell>
          <cell r="BQ14">
            <v>17714.480000000003</v>
          </cell>
          <cell r="BR14">
            <v>83188</v>
          </cell>
          <cell r="BS14">
            <v>67969.16</v>
          </cell>
          <cell r="BT14">
            <v>15218.839999999997</v>
          </cell>
        </row>
        <row r="15">
          <cell r="L15" t="str">
            <v>Settlement Options</v>
          </cell>
          <cell r="M15">
            <v>8099</v>
          </cell>
          <cell r="N15">
            <v>0</v>
          </cell>
          <cell r="O15">
            <v>8099</v>
          </cell>
          <cell r="P15">
            <v>8099</v>
          </cell>
          <cell r="Q15">
            <v>0</v>
          </cell>
          <cell r="R15">
            <v>8099</v>
          </cell>
          <cell r="S15">
            <v>8099</v>
          </cell>
          <cell r="T15">
            <v>0</v>
          </cell>
          <cell r="U15">
            <v>8099</v>
          </cell>
          <cell r="V15">
            <v>8099</v>
          </cell>
          <cell r="W15">
            <v>0</v>
          </cell>
          <cell r="X15">
            <v>8099</v>
          </cell>
          <cell r="Y15">
            <v>8099</v>
          </cell>
          <cell r="Z15">
            <v>0</v>
          </cell>
          <cell r="AA15">
            <v>8099</v>
          </cell>
          <cell r="AB15">
            <v>8099</v>
          </cell>
          <cell r="AC15">
            <v>0</v>
          </cell>
          <cell r="AD15">
            <v>8099</v>
          </cell>
          <cell r="AE15">
            <v>8099</v>
          </cell>
          <cell r="AF15">
            <v>0</v>
          </cell>
          <cell r="AG15">
            <v>8099</v>
          </cell>
          <cell r="AH15">
            <v>8099</v>
          </cell>
          <cell r="AI15">
            <v>0</v>
          </cell>
          <cell r="AJ15">
            <v>8099</v>
          </cell>
          <cell r="AK15">
            <v>8099</v>
          </cell>
          <cell r="AL15">
            <v>0</v>
          </cell>
          <cell r="AM15">
            <v>8099</v>
          </cell>
          <cell r="AN15">
            <v>8099</v>
          </cell>
          <cell r="AO15">
            <v>0</v>
          </cell>
          <cell r="AP15">
            <v>8099</v>
          </cell>
          <cell r="AQ15">
            <v>8099</v>
          </cell>
          <cell r="AR15">
            <v>0</v>
          </cell>
          <cell r="AS15">
            <v>8099</v>
          </cell>
          <cell r="AT15">
            <v>8099</v>
          </cell>
          <cell r="AU15">
            <v>0</v>
          </cell>
          <cell r="AV15">
            <v>8099</v>
          </cell>
          <cell r="AW15">
            <v>8099</v>
          </cell>
          <cell r="AX15">
            <v>0</v>
          </cell>
          <cell r="AY15">
            <v>8099</v>
          </cell>
          <cell r="AZ15">
            <v>8099</v>
          </cell>
          <cell r="BA15">
            <v>0</v>
          </cell>
          <cell r="BB15">
            <v>8099</v>
          </cell>
          <cell r="BC15">
            <v>8099</v>
          </cell>
          <cell r="BD15">
            <v>0</v>
          </cell>
          <cell r="BE15">
            <v>8099</v>
          </cell>
          <cell r="BF15">
            <v>8099</v>
          </cell>
          <cell r="BG15">
            <v>0</v>
          </cell>
          <cell r="BH15">
            <v>8099</v>
          </cell>
          <cell r="BI15">
            <v>8099</v>
          </cell>
          <cell r="BJ15">
            <v>0</v>
          </cell>
          <cell r="BK15">
            <v>8099</v>
          </cell>
          <cell r="BL15">
            <v>8099</v>
          </cell>
          <cell r="BM15">
            <v>0</v>
          </cell>
          <cell r="BN15">
            <v>8099</v>
          </cell>
          <cell r="BO15">
            <v>8099</v>
          </cell>
          <cell r="BP15">
            <v>0</v>
          </cell>
          <cell r="BQ15">
            <v>8099</v>
          </cell>
          <cell r="BR15">
            <v>8099</v>
          </cell>
          <cell r="BS15">
            <v>0</v>
          </cell>
          <cell r="BT15">
            <v>8099</v>
          </cell>
        </row>
        <row r="16">
          <cell r="L16" t="str">
            <v>Fixed Immediate Annuity</v>
          </cell>
          <cell r="M16">
            <v>1470</v>
          </cell>
          <cell r="N16">
            <v>0</v>
          </cell>
          <cell r="O16">
            <v>1470</v>
          </cell>
          <cell r="P16">
            <v>1470</v>
          </cell>
          <cell r="Q16">
            <v>0</v>
          </cell>
          <cell r="R16">
            <v>1470</v>
          </cell>
          <cell r="S16">
            <v>1470</v>
          </cell>
          <cell r="T16">
            <v>0</v>
          </cell>
          <cell r="U16">
            <v>1470</v>
          </cell>
          <cell r="V16">
            <v>1470</v>
          </cell>
          <cell r="W16">
            <v>0</v>
          </cell>
          <cell r="X16">
            <v>1470</v>
          </cell>
          <cell r="Y16">
            <v>1470</v>
          </cell>
          <cell r="Z16">
            <v>0</v>
          </cell>
          <cell r="AA16">
            <v>1470</v>
          </cell>
          <cell r="AB16">
            <v>1470</v>
          </cell>
          <cell r="AC16">
            <v>0</v>
          </cell>
          <cell r="AD16">
            <v>1470</v>
          </cell>
          <cell r="AE16">
            <v>1470</v>
          </cell>
          <cell r="AF16">
            <v>0</v>
          </cell>
          <cell r="AG16">
            <v>1470</v>
          </cell>
          <cell r="AH16">
            <v>1470</v>
          </cell>
          <cell r="AI16">
            <v>0</v>
          </cell>
          <cell r="AJ16">
            <v>1470</v>
          </cell>
          <cell r="AK16">
            <v>1470</v>
          </cell>
          <cell r="AL16">
            <v>0</v>
          </cell>
          <cell r="AM16">
            <v>1470</v>
          </cell>
          <cell r="AN16">
            <v>1470</v>
          </cell>
          <cell r="AO16">
            <v>0</v>
          </cell>
          <cell r="AP16">
            <v>1470</v>
          </cell>
          <cell r="AQ16">
            <v>1470</v>
          </cell>
          <cell r="AR16">
            <v>0</v>
          </cell>
          <cell r="AS16">
            <v>1470</v>
          </cell>
          <cell r="AT16">
            <v>1470</v>
          </cell>
          <cell r="AU16">
            <v>0</v>
          </cell>
          <cell r="AV16">
            <v>1470</v>
          </cell>
          <cell r="AW16">
            <v>1470</v>
          </cell>
          <cell r="AX16">
            <v>0</v>
          </cell>
          <cell r="AY16">
            <v>1470</v>
          </cell>
          <cell r="AZ16">
            <v>1470</v>
          </cell>
          <cell r="BA16">
            <v>0</v>
          </cell>
          <cell r="BB16">
            <v>1470</v>
          </cell>
          <cell r="BC16">
            <v>1470</v>
          </cell>
          <cell r="BD16">
            <v>0</v>
          </cell>
          <cell r="BE16">
            <v>1470</v>
          </cell>
          <cell r="BF16">
            <v>1470</v>
          </cell>
          <cell r="BG16">
            <v>0</v>
          </cell>
          <cell r="BH16">
            <v>1470</v>
          </cell>
          <cell r="BI16">
            <v>1470</v>
          </cell>
          <cell r="BJ16">
            <v>0</v>
          </cell>
          <cell r="BK16">
            <v>1470</v>
          </cell>
          <cell r="BL16">
            <v>1470</v>
          </cell>
          <cell r="BM16">
            <v>0</v>
          </cell>
          <cell r="BN16">
            <v>1470</v>
          </cell>
          <cell r="BO16">
            <v>1470</v>
          </cell>
          <cell r="BP16">
            <v>0</v>
          </cell>
          <cell r="BQ16">
            <v>1470</v>
          </cell>
          <cell r="BR16">
            <v>1470</v>
          </cell>
          <cell r="BS16">
            <v>0</v>
          </cell>
          <cell r="BT16">
            <v>1470</v>
          </cell>
        </row>
        <row r="17">
          <cell r="L17" t="str">
            <v>Hospital and Cancer</v>
          </cell>
          <cell r="M17">
            <v>27124</v>
          </cell>
          <cell r="N17">
            <v>0</v>
          </cell>
          <cell r="O17">
            <v>27124</v>
          </cell>
          <cell r="P17">
            <v>27124</v>
          </cell>
          <cell r="Q17">
            <v>0</v>
          </cell>
          <cell r="R17">
            <v>27124</v>
          </cell>
          <cell r="S17">
            <v>27124</v>
          </cell>
          <cell r="T17">
            <v>0</v>
          </cell>
          <cell r="U17">
            <v>27124</v>
          </cell>
          <cell r="V17">
            <v>27124</v>
          </cell>
          <cell r="W17">
            <v>0</v>
          </cell>
          <cell r="X17">
            <v>27124</v>
          </cell>
          <cell r="Y17">
            <v>27124</v>
          </cell>
          <cell r="Z17">
            <v>0</v>
          </cell>
          <cell r="AA17">
            <v>27124</v>
          </cell>
          <cell r="AB17">
            <v>27124</v>
          </cell>
          <cell r="AC17">
            <v>0</v>
          </cell>
          <cell r="AD17">
            <v>27124</v>
          </cell>
          <cell r="AE17">
            <v>27124</v>
          </cell>
          <cell r="AF17">
            <v>0</v>
          </cell>
          <cell r="AG17">
            <v>27124</v>
          </cell>
          <cell r="AH17">
            <v>27124</v>
          </cell>
          <cell r="AI17">
            <v>0</v>
          </cell>
          <cell r="AJ17">
            <v>27124</v>
          </cell>
          <cell r="AK17">
            <v>27124</v>
          </cell>
          <cell r="AL17">
            <v>0</v>
          </cell>
          <cell r="AM17">
            <v>27124</v>
          </cell>
          <cell r="AN17">
            <v>27124</v>
          </cell>
          <cell r="AO17">
            <v>0</v>
          </cell>
          <cell r="AP17">
            <v>27124</v>
          </cell>
          <cell r="AQ17">
            <v>27124</v>
          </cell>
          <cell r="AR17">
            <v>0</v>
          </cell>
          <cell r="AS17">
            <v>27124</v>
          </cell>
          <cell r="AT17">
            <v>27124</v>
          </cell>
          <cell r="AU17">
            <v>0</v>
          </cell>
          <cell r="AV17">
            <v>27124</v>
          </cell>
          <cell r="AW17">
            <v>27124</v>
          </cell>
          <cell r="AX17">
            <v>0</v>
          </cell>
          <cell r="AY17">
            <v>27124</v>
          </cell>
          <cell r="AZ17">
            <v>27124</v>
          </cell>
          <cell r="BA17">
            <v>0</v>
          </cell>
          <cell r="BB17">
            <v>27124</v>
          </cell>
          <cell r="BC17">
            <v>27124</v>
          </cell>
          <cell r="BD17">
            <v>0</v>
          </cell>
          <cell r="BE17">
            <v>27124</v>
          </cell>
          <cell r="BF17">
            <v>27124</v>
          </cell>
          <cell r="BG17">
            <v>0</v>
          </cell>
          <cell r="BH17">
            <v>27124</v>
          </cell>
          <cell r="BI17">
            <v>27124</v>
          </cell>
          <cell r="BJ17">
            <v>0</v>
          </cell>
          <cell r="BK17">
            <v>27124</v>
          </cell>
          <cell r="BL17">
            <v>27124</v>
          </cell>
          <cell r="BM17">
            <v>0</v>
          </cell>
          <cell r="BN17">
            <v>27124</v>
          </cell>
          <cell r="BO17">
            <v>27124</v>
          </cell>
          <cell r="BP17">
            <v>0</v>
          </cell>
          <cell r="BQ17">
            <v>27124</v>
          </cell>
          <cell r="BR17">
            <v>27124</v>
          </cell>
          <cell r="BS17">
            <v>0</v>
          </cell>
          <cell r="BT17">
            <v>27124</v>
          </cell>
        </row>
        <row r="18">
          <cell r="L18" t="str">
            <v>Long-Term Care</v>
          </cell>
          <cell r="M18">
            <v>1994</v>
          </cell>
          <cell r="N18">
            <v>1994</v>
          </cell>
          <cell r="O18">
            <v>0</v>
          </cell>
          <cell r="P18">
            <v>1994</v>
          </cell>
          <cell r="Q18">
            <v>1994</v>
          </cell>
          <cell r="R18">
            <v>0</v>
          </cell>
          <cell r="S18">
            <v>1994</v>
          </cell>
          <cell r="T18">
            <v>1994</v>
          </cell>
          <cell r="U18">
            <v>0</v>
          </cell>
          <cell r="V18">
            <v>1994</v>
          </cell>
          <cell r="W18">
            <v>1994</v>
          </cell>
          <cell r="X18">
            <v>0</v>
          </cell>
          <cell r="Y18">
            <v>1994</v>
          </cell>
          <cell r="Z18">
            <v>1994</v>
          </cell>
          <cell r="AA18">
            <v>0</v>
          </cell>
          <cell r="AB18">
            <v>1994</v>
          </cell>
          <cell r="AC18">
            <v>1994</v>
          </cell>
          <cell r="AD18">
            <v>0</v>
          </cell>
          <cell r="AE18">
            <v>1994</v>
          </cell>
          <cell r="AF18">
            <v>1994</v>
          </cell>
          <cell r="AG18">
            <v>0</v>
          </cell>
          <cell r="AH18">
            <v>1994</v>
          </cell>
          <cell r="AI18">
            <v>1994</v>
          </cell>
          <cell r="AJ18">
            <v>0</v>
          </cell>
          <cell r="AK18">
            <v>1994</v>
          </cell>
          <cell r="AL18">
            <v>1994</v>
          </cell>
          <cell r="AM18">
            <v>0</v>
          </cell>
          <cell r="AN18">
            <v>1994</v>
          </cell>
          <cell r="AO18">
            <v>1994</v>
          </cell>
          <cell r="AP18">
            <v>0</v>
          </cell>
          <cell r="AQ18">
            <v>1994</v>
          </cell>
          <cell r="AR18">
            <v>1994</v>
          </cell>
          <cell r="AS18">
            <v>0</v>
          </cell>
          <cell r="AT18">
            <v>1994</v>
          </cell>
          <cell r="AU18">
            <v>1994</v>
          </cell>
          <cell r="AV18">
            <v>0</v>
          </cell>
          <cell r="AW18">
            <v>1994</v>
          </cell>
          <cell r="AX18">
            <v>1994</v>
          </cell>
          <cell r="AY18">
            <v>0</v>
          </cell>
          <cell r="AZ18">
            <v>1994</v>
          </cell>
          <cell r="BA18">
            <v>1994</v>
          </cell>
          <cell r="BB18">
            <v>0</v>
          </cell>
          <cell r="BC18">
            <v>1994</v>
          </cell>
          <cell r="BD18">
            <v>1994</v>
          </cell>
          <cell r="BE18">
            <v>0</v>
          </cell>
          <cell r="BF18">
            <v>1994</v>
          </cell>
          <cell r="BG18">
            <v>1994</v>
          </cell>
          <cell r="BH18">
            <v>0</v>
          </cell>
          <cell r="BI18">
            <v>1994</v>
          </cell>
          <cell r="BJ18">
            <v>1994</v>
          </cell>
          <cell r="BK18">
            <v>0</v>
          </cell>
          <cell r="BL18">
            <v>1994</v>
          </cell>
          <cell r="BM18">
            <v>1994</v>
          </cell>
          <cell r="BN18">
            <v>0</v>
          </cell>
          <cell r="BO18">
            <v>1994</v>
          </cell>
          <cell r="BP18">
            <v>1994</v>
          </cell>
          <cell r="BQ18">
            <v>0</v>
          </cell>
          <cell r="BR18">
            <v>1994</v>
          </cell>
          <cell r="BS18">
            <v>1994</v>
          </cell>
          <cell r="BT18">
            <v>0</v>
          </cell>
        </row>
        <row r="19">
          <cell r="L19" t="str">
            <v>Disability Income</v>
          </cell>
          <cell r="M19">
            <v>1162</v>
          </cell>
          <cell r="N19">
            <v>0</v>
          </cell>
          <cell r="O19">
            <v>1162</v>
          </cell>
          <cell r="P19">
            <v>1162</v>
          </cell>
          <cell r="Q19">
            <v>0</v>
          </cell>
          <cell r="R19">
            <v>1162</v>
          </cell>
          <cell r="S19">
            <v>1162</v>
          </cell>
          <cell r="T19">
            <v>0</v>
          </cell>
          <cell r="U19">
            <v>1162</v>
          </cell>
          <cell r="V19">
            <v>1162</v>
          </cell>
          <cell r="W19">
            <v>0</v>
          </cell>
          <cell r="X19">
            <v>1162</v>
          </cell>
          <cell r="Y19">
            <v>1162</v>
          </cell>
          <cell r="Z19">
            <v>0</v>
          </cell>
          <cell r="AA19">
            <v>1162</v>
          </cell>
          <cell r="AB19">
            <v>1162</v>
          </cell>
          <cell r="AC19">
            <v>0</v>
          </cell>
          <cell r="AD19">
            <v>1162</v>
          </cell>
          <cell r="AE19">
            <v>1162</v>
          </cell>
          <cell r="AF19">
            <v>0</v>
          </cell>
          <cell r="AG19">
            <v>1162</v>
          </cell>
          <cell r="AH19">
            <v>1162</v>
          </cell>
          <cell r="AI19">
            <v>0</v>
          </cell>
          <cell r="AJ19">
            <v>1162</v>
          </cell>
          <cell r="AK19">
            <v>1162</v>
          </cell>
          <cell r="AL19">
            <v>0</v>
          </cell>
          <cell r="AM19">
            <v>1162</v>
          </cell>
          <cell r="AN19">
            <v>1162</v>
          </cell>
          <cell r="AO19">
            <v>0</v>
          </cell>
          <cell r="AP19">
            <v>1162</v>
          </cell>
          <cell r="AQ19">
            <v>1162</v>
          </cell>
          <cell r="AR19">
            <v>0</v>
          </cell>
          <cell r="AS19">
            <v>1162</v>
          </cell>
          <cell r="AT19">
            <v>1162</v>
          </cell>
          <cell r="AU19">
            <v>0</v>
          </cell>
          <cell r="AV19">
            <v>1162</v>
          </cell>
          <cell r="AW19">
            <v>1162</v>
          </cell>
          <cell r="AX19">
            <v>0</v>
          </cell>
          <cell r="AY19">
            <v>1162</v>
          </cell>
          <cell r="AZ19">
            <v>1162</v>
          </cell>
          <cell r="BA19">
            <v>0</v>
          </cell>
          <cell r="BB19">
            <v>1162</v>
          </cell>
          <cell r="BC19">
            <v>1162</v>
          </cell>
          <cell r="BD19">
            <v>0</v>
          </cell>
          <cell r="BE19">
            <v>1162</v>
          </cell>
          <cell r="BF19">
            <v>1162</v>
          </cell>
          <cell r="BG19">
            <v>0</v>
          </cell>
          <cell r="BH19">
            <v>1162</v>
          </cell>
          <cell r="BI19">
            <v>1162</v>
          </cell>
          <cell r="BJ19">
            <v>0</v>
          </cell>
          <cell r="BK19">
            <v>1162</v>
          </cell>
          <cell r="BL19">
            <v>1162</v>
          </cell>
          <cell r="BM19">
            <v>0</v>
          </cell>
          <cell r="BN19">
            <v>1162</v>
          </cell>
          <cell r="BO19">
            <v>1162</v>
          </cell>
          <cell r="BP19">
            <v>0</v>
          </cell>
          <cell r="BQ19">
            <v>1162</v>
          </cell>
          <cell r="BR19">
            <v>1162</v>
          </cell>
          <cell r="BS19">
            <v>0</v>
          </cell>
          <cell r="BT19">
            <v>1162</v>
          </cell>
        </row>
        <row r="20">
          <cell r="L20" t="str">
            <v>Variable Annuity</v>
          </cell>
          <cell r="M20">
            <v>2499</v>
          </cell>
          <cell r="N20">
            <v>2499</v>
          </cell>
          <cell r="O20">
            <v>0</v>
          </cell>
          <cell r="P20">
            <v>2499</v>
          </cell>
          <cell r="Q20">
            <v>2499</v>
          </cell>
          <cell r="R20">
            <v>0</v>
          </cell>
          <cell r="S20">
            <v>2499</v>
          </cell>
          <cell r="T20">
            <v>2499</v>
          </cell>
          <cell r="U20">
            <v>0</v>
          </cell>
          <cell r="V20">
            <v>2499</v>
          </cell>
          <cell r="W20">
            <v>2499</v>
          </cell>
          <cell r="X20">
            <v>0</v>
          </cell>
          <cell r="Y20">
            <v>2499</v>
          </cell>
          <cell r="Z20">
            <v>2499</v>
          </cell>
          <cell r="AA20">
            <v>0</v>
          </cell>
          <cell r="AB20">
            <v>2499</v>
          </cell>
          <cell r="AC20">
            <v>2499</v>
          </cell>
          <cell r="AD20">
            <v>0</v>
          </cell>
          <cell r="AE20">
            <v>2499</v>
          </cell>
          <cell r="AF20">
            <v>2499</v>
          </cell>
          <cell r="AG20">
            <v>0</v>
          </cell>
          <cell r="AH20">
            <v>2499</v>
          </cell>
          <cell r="AI20">
            <v>2499</v>
          </cell>
          <cell r="AJ20">
            <v>0</v>
          </cell>
          <cell r="AK20">
            <v>2499</v>
          </cell>
          <cell r="AL20">
            <v>2499</v>
          </cell>
          <cell r="AM20">
            <v>0</v>
          </cell>
          <cell r="AN20">
            <v>2499</v>
          </cell>
          <cell r="AO20">
            <v>2499</v>
          </cell>
          <cell r="AP20">
            <v>0</v>
          </cell>
          <cell r="AQ20">
            <v>2499</v>
          </cell>
          <cell r="AR20">
            <v>2499</v>
          </cell>
          <cell r="AS20">
            <v>0</v>
          </cell>
          <cell r="AT20">
            <v>2499</v>
          </cell>
          <cell r="AU20">
            <v>2499</v>
          </cell>
          <cell r="AV20">
            <v>0</v>
          </cell>
          <cell r="AW20">
            <v>2499</v>
          </cell>
          <cell r="AX20">
            <v>2499</v>
          </cell>
          <cell r="AY20">
            <v>0</v>
          </cell>
          <cell r="AZ20">
            <v>2499</v>
          </cell>
          <cell r="BA20">
            <v>2499</v>
          </cell>
          <cell r="BB20">
            <v>0</v>
          </cell>
          <cell r="BC20">
            <v>2499</v>
          </cell>
          <cell r="BD20">
            <v>2499</v>
          </cell>
          <cell r="BE20">
            <v>0</v>
          </cell>
          <cell r="BF20">
            <v>2499</v>
          </cell>
          <cell r="BG20">
            <v>2499</v>
          </cell>
          <cell r="BH20">
            <v>0</v>
          </cell>
          <cell r="BI20">
            <v>2499</v>
          </cell>
          <cell r="BJ20">
            <v>2499</v>
          </cell>
          <cell r="BK20">
            <v>0</v>
          </cell>
          <cell r="BL20">
            <v>2499</v>
          </cell>
          <cell r="BM20">
            <v>2499</v>
          </cell>
          <cell r="BN20">
            <v>0</v>
          </cell>
          <cell r="BO20">
            <v>2499</v>
          </cell>
          <cell r="BP20">
            <v>2499</v>
          </cell>
          <cell r="BQ20">
            <v>0</v>
          </cell>
          <cell r="BR20">
            <v>2499</v>
          </cell>
          <cell r="BS20">
            <v>2499</v>
          </cell>
          <cell r="BT20">
            <v>0</v>
          </cell>
        </row>
        <row r="21">
          <cell r="L21" t="str">
            <v>Total</v>
          </cell>
          <cell r="M21">
            <v>895222</v>
          </cell>
          <cell r="N21">
            <v>89207</v>
          </cell>
          <cell r="O21">
            <v>806015</v>
          </cell>
          <cell r="P21">
            <v>895222</v>
          </cell>
          <cell r="Q21">
            <v>107348.48000000001</v>
          </cell>
          <cell r="R21">
            <v>787873.52</v>
          </cell>
          <cell r="S21">
            <v>895222</v>
          </cell>
          <cell r="T21">
            <v>125489.95999999999</v>
          </cell>
          <cell r="U21">
            <v>769732.04</v>
          </cell>
          <cell r="V21">
            <v>895222</v>
          </cell>
          <cell r="W21">
            <v>143631.44</v>
          </cell>
          <cell r="X21">
            <v>751590.55999999994</v>
          </cell>
          <cell r="Y21">
            <v>895222</v>
          </cell>
          <cell r="Z21">
            <v>161772.92000000001</v>
          </cell>
          <cell r="AA21">
            <v>733449.08000000007</v>
          </cell>
          <cell r="AB21">
            <v>895222</v>
          </cell>
          <cell r="AC21">
            <v>179914.40000000002</v>
          </cell>
          <cell r="AD21">
            <v>715307.60000000009</v>
          </cell>
          <cell r="AE21">
            <v>895222</v>
          </cell>
          <cell r="AF21">
            <v>198055.88</v>
          </cell>
          <cell r="AG21">
            <v>697166.12</v>
          </cell>
          <cell r="AH21">
            <v>895222</v>
          </cell>
          <cell r="AI21">
            <v>216197.36000000002</v>
          </cell>
          <cell r="AJ21">
            <v>679024.64000000001</v>
          </cell>
          <cell r="AK21">
            <v>895222</v>
          </cell>
          <cell r="AL21">
            <v>234338.84</v>
          </cell>
          <cell r="AM21">
            <v>660883.16</v>
          </cell>
          <cell r="AN21">
            <v>895222</v>
          </cell>
          <cell r="AO21">
            <v>252480.32</v>
          </cell>
          <cell r="AP21">
            <v>642741.67999999993</v>
          </cell>
          <cell r="AQ21">
            <v>895222</v>
          </cell>
          <cell r="AR21">
            <v>270621.8</v>
          </cell>
          <cell r="AS21">
            <v>624600.19999999995</v>
          </cell>
          <cell r="AT21">
            <v>895222</v>
          </cell>
          <cell r="AU21">
            <v>288763.27999999997</v>
          </cell>
          <cell r="AV21">
            <v>606458.72</v>
          </cell>
          <cell r="AW21">
            <v>895222</v>
          </cell>
          <cell r="AX21">
            <v>306904.76</v>
          </cell>
          <cell r="AY21">
            <v>588317.24</v>
          </cell>
          <cell r="AZ21">
            <v>895222</v>
          </cell>
          <cell r="BA21">
            <v>325046.24000000005</v>
          </cell>
          <cell r="BB21">
            <v>570175.76</v>
          </cell>
          <cell r="BC21">
            <v>895222</v>
          </cell>
          <cell r="BD21">
            <v>343187.72000000003</v>
          </cell>
          <cell r="BE21">
            <v>552034.28</v>
          </cell>
          <cell r="BF21">
            <v>895222</v>
          </cell>
          <cell r="BG21">
            <v>361329.19999999995</v>
          </cell>
          <cell r="BH21">
            <v>533892.80000000005</v>
          </cell>
          <cell r="BI21">
            <v>895222</v>
          </cell>
          <cell r="BJ21">
            <v>379470.68</v>
          </cell>
          <cell r="BK21">
            <v>515751.32000000007</v>
          </cell>
          <cell r="BL21">
            <v>895222</v>
          </cell>
          <cell r="BM21">
            <v>397612.16000000003</v>
          </cell>
          <cell r="BN21">
            <v>497609.83999999997</v>
          </cell>
          <cell r="BO21">
            <v>895222</v>
          </cell>
          <cell r="BP21">
            <v>415753.64</v>
          </cell>
          <cell r="BQ21">
            <v>479468.35999999993</v>
          </cell>
          <cell r="BR21">
            <v>895222</v>
          </cell>
          <cell r="BS21">
            <v>433895.12</v>
          </cell>
          <cell r="BT21">
            <v>461326.88</v>
          </cell>
        </row>
        <row r="31">
          <cell r="M31" t="str">
            <v>Total 1</v>
          </cell>
          <cell r="N31" t="str">
            <v>Ingenium 1</v>
          </cell>
          <cell r="O31" t="str">
            <v>Legacy 1</v>
          </cell>
          <cell r="P31" t="str">
            <v>Total 2</v>
          </cell>
          <cell r="Q31" t="str">
            <v>Ingenium 2</v>
          </cell>
          <cell r="R31" t="str">
            <v>Legacy 2</v>
          </cell>
          <cell r="S31" t="str">
            <v>Total 3</v>
          </cell>
          <cell r="T31" t="str">
            <v>Ingenium 3</v>
          </cell>
          <cell r="U31" t="str">
            <v>Legacy 3</v>
          </cell>
          <cell r="V31" t="str">
            <v>Total 4</v>
          </cell>
          <cell r="W31" t="str">
            <v>Ingenium 4</v>
          </cell>
          <cell r="X31" t="str">
            <v>Legacy 4</v>
          </cell>
          <cell r="Y31" t="str">
            <v>Total 5</v>
          </cell>
          <cell r="Z31" t="str">
            <v>Ingenium 5</v>
          </cell>
          <cell r="AA31" t="str">
            <v>Legacy 5</v>
          </cell>
          <cell r="AB31" t="str">
            <v>Total 6</v>
          </cell>
          <cell r="AC31" t="str">
            <v>Ingenium 6</v>
          </cell>
          <cell r="AD31" t="str">
            <v>Legacy 6</v>
          </cell>
          <cell r="AE31" t="str">
            <v>Total 7</v>
          </cell>
          <cell r="AF31" t="str">
            <v>Ingenium 7</v>
          </cell>
          <cell r="AG31" t="str">
            <v>Legacy 7</v>
          </cell>
          <cell r="AH31" t="str">
            <v>Total 8</v>
          </cell>
          <cell r="AI31" t="str">
            <v>Ingenium 8</v>
          </cell>
          <cell r="AJ31" t="str">
            <v>Legacy 8</v>
          </cell>
          <cell r="AK31" t="str">
            <v>Total 9</v>
          </cell>
          <cell r="AL31" t="str">
            <v>Ingenium 9</v>
          </cell>
          <cell r="AM31" t="str">
            <v>Legacy 9</v>
          </cell>
          <cell r="AN31" t="str">
            <v>Total 10</v>
          </cell>
          <cell r="AO31" t="str">
            <v>Ingenium 10</v>
          </cell>
          <cell r="AP31" t="str">
            <v>Legacy 10</v>
          </cell>
          <cell r="AQ31" t="str">
            <v>Total 11</v>
          </cell>
          <cell r="AR31" t="str">
            <v>Ingenium 11</v>
          </cell>
          <cell r="AS31" t="str">
            <v>Legacy 11</v>
          </cell>
          <cell r="AT31" t="str">
            <v>Total 12</v>
          </cell>
          <cell r="AU31" t="str">
            <v>Ingenium 12</v>
          </cell>
          <cell r="AV31" t="str">
            <v>Legacy 12</v>
          </cell>
          <cell r="AW31" t="str">
            <v>Total 13</v>
          </cell>
          <cell r="AX31" t="str">
            <v>Ingenium 13</v>
          </cell>
          <cell r="AY31" t="str">
            <v>Legacy 13</v>
          </cell>
          <cell r="AZ31" t="str">
            <v>Total 14</v>
          </cell>
          <cell r="BA31" t="str">
            <v>Ingenium 14</v>
          </cell>
          <cell r="BB31" t="str">
            <v>Legacy 14</v>
          </cell>
          <cell r="BC31" t="str">
            <v>Total 15</v>
          </cell>
          <cell r="BD31" t="str">
            <v>Ingenium 15</v>
          </cell>
          <cell r="BE31" t="str">
            <v>Legacy 15</v>
          </cell>
          <cell r="BF31" t="str">
            <v>Total 16</v>
          </cell>
          <cell r="BG31" t="str">
            <v>Ingenium 16</v>
          </cell>
          <cell r="BH31" t="str">
            <v>Legacy 16</v>
          </cell>
          <cell r="BI31" t="str">
            <v>Total 17</v>
          </cell>
          <cell r="BJ31" t="str">
            <v>Ingenium 17</v>
          </cell>
          <cell r="BK31" t="str">
            <v>Legacy 17</v>
          </cell>
          <cell r="BL31" t="str">
            <v>Total 18</v>
          </cell>
          <cell r="BM31" t="str">
            <v>Ingenium 18</v>
          </cell>
          <cell r="BN31" t="str">
            <v>Legacy 18</v>
          </cell>
          <cell r="BO31" t="str">
            <v>Total 19</v>
          </cell>
          <cell r="BP31" t="str">
            <v>Ingenium 19</v>
          </cell>
          <cell r="BQ31" t="str">
            <v>Legacy 19</v>
          </cell>
          <cell r="BR31" t="str">
            <v>Total 20</v>
          </cell>
          <cell r="BS31" t="str">
            <v>Ingenium 20</v>
          </cell>
          <cell r="BT31" t="str">
            <v>Legacy 20</v>
          </cell>
        </row>
        <row r="32">
          <cell r="L32" t="str">
            <v>Inactive Policies</v>
          </cell>
          <cell r="M32">
            <v>1814492</v>
          </cell>
          <cell r="N32">
            <v>28819</v>
          </cell>
          <cell r="O32">
            <v>1785673</v>
          </cell>
          <cell r="P32">
            <v>1814492</v>
          </cell>
          <cell r="Q32">
            <v>28819</v>
          </cell>
          <cell r="R32">
            <v>1785673</v>
          </cell>
          <cell r="S32">
            <v>1814492</v>
          </cell>
          <cell r="T32">
            <v>28819</v>
          </cell>
          <cell r="U32">
            <v>1785673</v>
          </cell>
          <cell r="V32">
            <v>1814492</v>
          </cell>
          <cell r="W32">
            <v>28819</v>
          </cell>
          <cell r="X32">
            <v>1785673</v>
          </cell>
          <cell r="Y32">
            <v>1814492</v>
          </cell>
          <cell r="Z32">
            <v>28819</v>
          </cell>
          <cell r="AA32">
            <v>1785673</v>
          </cell>
          <cell r="AB32">
            <v>1814492</v>
          </cell>
          <cell r="AC32">
            <v>28819</v>
          </cell>
          <cell r="AD32">
            <v>1785673</v>
          </cell>
          <cell r="AE32">
            <v>1814492</v>
          </cell>
          <cell r="AF32">
            <v>28819</v>
          </cell>
          <cell r="AG32">
            <v>1785673</v>
          </cell>
          <cell r="AH32">
            <v>1814492</v>
          </cell>
          <cell r="AI32">
            <v>28819</v>
          </cell>
          <cell r="AJ32">
            <v>1785673</v>
          </cell>
          <cell r="AK32">
            <v>1814492</v>
          </cell>
          <cell r="AL32">
            <v>28819</v>
          </cell>
          <cell r="AM32">
            <v>1785673</v>
          </cell>
          <cell r="AN32">
            <v>1814492</v>
          </cell>
          <cell r="AO32">
            <v>28819</v>
          </cell>
          <cell r="AP32">
            <v>1785673</v>
          </cell>
          <cell r="AQ32">
            <v>1814492</v>
          </cell>
          <cell r="AR32">
            <v>28819</v>
          </cell>
          <cell r="AS32">
            <v>1785673</v>
          </cell>
          <cell r="AT32">
            <v>1814492</v>
          </cell>
          <cell r="AU32">
            <v>28819</v>
          </cell>
          <cell r="AV32">
            <v>1785673</v>
          </cell>
          <cell r="AW32">
            <v>1814492</v>
          </cell>
          <cell r="AX32">
            <v>28819</v>
          </cell>
          <cell r="AY32">
            <v>1785673</v>
          </cell>
          <cell r="AZ32">
            <v>1814492</v>
          </cell>
          <cell r="BA32">
            <v>28819</v>
          </cell>
          <cell r="BB32">
            <v>1785673</v>
          </cell>
          <cell r="BC32">
            <v>1814492</v>
          </cell>
          <cell r="BD32">
            <v>28819</v>
          </cell>
          <cell r="BE32">
            <v>1785673</v>
          </cell>
          <cell r="BF32">
            <v>1814492</v>
          </cell>
          <cell r="BG32">
            <v>28819</v>
          </cell>
          <cell r="BH32">
            <v>1785673</v>
          </cell>
          <cell r="BI32">
            <v>1814492</v>
          </cell>
          <cell r="BJ32">
            <v>28819</v>
          </cell>
          <cell r="BK32">
            <v>1785673</v>
          </cell>
          <cell r="BL32">
            <v>1814492</v>
          </cell>
          <cell r="BM32">
            <v>28819</v>
          </cell>
          <cell r="BN32">
            <v>1785673</v>
          </cell>
          <cell r="BO32">
            <v>1814492</v>
          </cell>
          <cell r="BP32">
            <v>28819</v>
          </cell>
          <cell r="BQ32">
            <v>1785673</v>
          </cell>
          <cell r="BR32">
            <v>1814492</v>
          </cell>
          <cell r="BS32">
            <v>28819</v>
          </cell>
          <cell r="BT32">
            <v>1785673</v>
          </cell>
        </row>
        <row r="47">
          <cell r="M47">
            <v>54646</v>
          </cell>
          <cell r="N47">
            <v>54646</v>
          </cell>
          <cell r="O47">
            <v>54646</v>
          </cell>
          <cell r="P47">
            <v>54646</v>
          </cell>
          <cell r="Q47">
            <v>54646</v>
          </cell>
          <cell r="R47">
            <v>54646</v>
          </cell>
          <cell r="S47">
            <v>54646</v>
          </cell>
          <cell r="T47">
            <v>54646</v>
          </cell>
          <cell r="U47">
            <v>54646</v>
          </cell>
          <cell r="V47">
            <v>54646</v>
          </cell>
          <cell r="W47">
            <v>54646</v>
          </cell>
          <cell r="X47">
            <v>54646</v>
          </cell>
          <cell r="Y47">
            <v>54646</v>
          </cell>
          <cell r="Z47">
            <v>54646</v>
          </cell>
          <cell r="AA47">
            <v>54646</v>
          </cell>
          <cell r="AB47">
            <v>54646</v>
          </cell>
          <cell r="AC47">
            <v>54646</v>
          </cell>
          <cell r="AD47">
            <v>54646</v>
          </cell>
          <cell r="AE47">
            <v>54646</v>
          </cell>
          <cell r="AF47">
            <v>54646</v>
          </cell>
        </row>
        <row r="62">
          <cell r="M62">
            <v>47305</v>
          </cell>
          <cell r="N62">
            <v>47305</v>
          </cell>
          <cell r="O62">
            <v>47305</v>
          </cell>
          <cell r="P62">
            <v>47305</v>
          </cell>
          <cell r="Q62">
            <v>47305</v>
          </cell>
          <cell r="R62">
            <v>47305</v>
          </cell>
          <cell r="S62">
            <v>47305</v>
          </cell>
          <cell r="T62">
            <v>47305</v>
          </cell>
          <cell r="U62">
            <v>47305</v>
          </cell>
          <cell r="V62">
            <v>47305</v>
          </cell>
          <cell r="W62">
            <v>47305</v>
          </cell>
          <cell r="X62">
            <v>47305</v>
          </cell>
          <cell r="Y62">
            <v>47305</v>
          </cell>
          <cell r="Z62">
            <v>47305</v>
          </cell>
          <cell r="AA62">
            <v>47305</v>
          </cell>
          <cell r="AB62">
            <v>47305</v>
          </cell>
          <cell r="AC62">
            <v>47305</v>
          </cell>
          <cell r="AD62">
            <v>47305</v>
          </cell>
          <cell r="AE62">
            <v>47305</v>
          </cell>
          <cell r="AF62">
            <v>47305</v>
          </cell>
        </row>
        <row r="77">
          <cell r="M77">
            <v>17301</v>
          </cell>
          <cell r="N77">
            <v>17301</v>
          </cell>
          <cell r="O77">
            <v>17301</v>
          </cell>
          <cell r="P77">
            <v>17301</v>
          </cell>
          <cell r="Q77">
            <v>17301</v>
          </cell>
          <cell r="R77">
            <v>17301</v>
          </cell>
          <cell r="S77">
            <v>17301</v>
          </cell>
          <cell r="T77">
            <v>17301</v>
          </cell>
          <cell r="U77">
            <v>17301</v>
          </cell>
          <cell r="V77">
            <v>17301</v>
          </cell>
          <cell r="W77">
            <v>17301</v>
          </cell>
          <cell r="X77">
            <v>17301</v>
          </cell>
          <cell r="Y77">
            <v>17301</v>
          </cell>
          <cell r="Z77">
            <v>17301</v>
          </cell>
          <cell r="AA77">
            <v>17301</v>
          </cell>
          <cell r="AB77">
            <v>17301</v>
          </cell>
          <cell r="AC77">
            <v>17301</v>
          </cell>
          <cell r="AD77">
            <v>17301</v>
          </cell>
          <cell r="AE77">
            <v>17301</v>
          </cell>
          <cell r="AF77">
            <v>17301</v>
          </cell>
        </row>
      </sheetData>
      <sheetData sheetId="33">
        <row r="18">
          <cell r="B18">
            <v>0.05</v>
          </cell>
        </row>
        <row r="20">
          <cell r="B20">
            <v>0</v>
          </cell>
        </row>
        <row r="22">
          <cell r="B22">
            <v>0.4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Table of Contents "/>
      <sheetName val="Dashboard"/>
      <sheetName val="Breakeven Point"/>
      <sheetName val="Growth Chart"/>
      <sheetName val="Summary of Benefits"/>
      <sheetName val="Stacked Benefits"/>
      <sheetName val="Summary of Costs"/>
      <sheetName val="NPV Gap"/>
      <sheetName val="NPV Gap (2)"/>
      <sheetName val="Hardware and Software"/>
      <sheetName val="Hardware Costs"/>
      <sheetName val="Claims Solution Implementation"/>
      <sheetName val="Fineos RFP Assumptions"/>
      <sheetName val="Legacy System Change"/>
      <sheetName val="Integration Assumptions"/>
      <sheetName val="Ongoing Costs"/>
      <sheetName val="C-I_Grp"/>
      <sheetName val="C-II_Grp"/>
      <sheetName val="C-III_Grp"/>
      <sheetName val="C-IV_Grp"/>
      <sheetName val="C-V_Grp"/>
      <sheetName val="C-I_Ind"/>
      <sheetName val="C-II_Ind"/>
      <sheetName val="C-III_Ind"/>
      <sheetName val="C-IV_Ind"/>
      <sheetName val="C-V_Ind"/>
      <sheetName val="C-VI_Ind"/>
      <sheetName val="C-VII_Ind"/>
      <sheetName val="C-VIII_Ind"/>
      <sheetName val="C-IX_Ind"/>
      <sheetName val="C-Pended_Ind"/>
      <sheetName val="C-X_Ind"/>
      <sheetName val="C-XI_Ind"/>
      <sheetName val="C-XII_Ind"/>
      <sheetName val="C-XIII_Ind"/>
      <sheetName val="Aflac_10K"/>
      <sheetName val="Benefit Descriptions (2)"/>
      <sheetName val="WACC"/>
      <sheetName val="Sheet1"/>
    </sheetNames>
    <sheetDataSet>
      <sheetData sheetId="0"/>
      <sheetData sheetId="1"/>
      <sheetData sheetId="2">
        <row r="12">
          <cell r="C12">
            <v>0</v>
          </cell>
        </row>
        <row r="13">
          <cell r="C13">
            <v>0</v>
          </cell>
        </row>
        <row r="14">
          <cell r="C14">
            <v>0</v>
          </cell>
        </row>
        <row r="19">
          <cell r="C19">
            <v>65</v>
          </cell>
        </row>
        <row r="20">
          <cell r="C20">
            <v>65</v>
          </cell>
        </row>
        <row r="21">
          <cell r="C21">
            <v>65</v>
          </cell>
        </row>
        <row r="25">
          <cell r="C25">
            <v>2080</v>
          </cell>
        </row>
        <row r="27">
          <cell r="C27">
            <v>3000</v>
          </cell>
        </row>
        <row r="28">
          <cell r="C28">
            <v>1475</v>
          </cell>
        </row>
        <row r="29">
          <cell r="C29">
            <v>1475</v>
          </cell>
        </row>
        <row r="30">
          <cell r="C30">
            <v>8</v>
          </cell>
        </row>
        <row r="124">
          <cell r="C124">
            <v>0</v>
          </cell>
        </row>
        <row r="125">
          <cell r="C125">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42">
          <cell r="E42">
            <v>0.11872295096770315</v>
          </cell>
        </row>
      </sheetData>
      <sheetData sheetId="3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Dashboard"/>
      <sheetName val="Contents"/>
      <sheetName val="Exec Summary"/>
      <sheetName val="Financial Summary"/>
      <sheetName val="Decision Summary"/>
      <sheetName val="Implementation Costs"/>
      <sheetName val="Imp Resource Cost"/>
      <sheetName val="Current Support Costs"/>
      <sheetName val="IT Support Benefits"/>
      <sheetName val="Change Mgmt Costs"/>
      <sheetName val="Benefits Summary - High"/>
      <sheetName val="Benefits Summary"/>
      <sheetName val="Assumptions"/>
      <sheetName val="Process Benefits Summary - Low"/>
      <sheetName val="Benefit Sum Decision1 - High"/>
      <sheetName val="Benefit Sum Decision1"/>
      <sheetName val="1. Reduce Prod Dev Costs"/>
      <sheetName val="2. Reduce Cost of Reg Proj"/>
      <sheetName val="3. Reduce Cost of Invst Changes"/>
      <sheetName val="4. Reduce Interface Costs"/>
      <sheetName val="5. LifeComm Data Entry"/>
      <sheetName val="5. Increase Issue Automation"/>
      <sheetName val="6. Reduce manual workarounds"/>
      <sheetName val="7. Reduce System Error Costs"/>
      <sheetName val="8. Stimulate Growth"/>
      <sheetName val="9. Reduce Errors Imptg Members"/>
      <sheetName val="10. Reduce Integration Effort"/>
      <sheetName val="Project Costs Reference"/>
      <sheetName val="Project Costs Pivot"/>
      <sheetName val="VA 2005"/>
      <sheetName val="Compliance Information"/>
      <sheetName val="Projects List"/>
      <sheetName val="Release Schedule"/>
      <sheetName val="Auto Underwriting"/>
      <sheetName val="wmA Summary"/>
      <sheetName val="nbA Summary"/>
      <sheetName val="wmA Interface Costing Model"/>
      <sheetName val="Annual Support"/>
      <sheetName val="Conv Support"/>
      <sheetName val="Conv Summary"/>
      <sheetName val="HWSW - Total Cost"/>
      <sheetName val="HWSW - Assumptions"/>
      <sheetName val="HWSW - Questions"/>
      <sheetName val="HWSW - Hardware"/>
      <sheetName val="HWSW - Software"/>
      <sheetName val="HWSW - Mainframe"/>
      <sheetName val="HWSW - Misc"/>
      <sheetName val="NIIT"/>
      <sheetName val="CSC"/>
      <sheetName val="Cognizan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ow r="7">
          <cell r="E7">
            <v>7.0000000000000007E-2</v>
          </cell>
        </row>
        <row r="8">
          <cell r="E8">
            <v>72</v>
          </cell>
        </row>
        <row r="9">
          <cell r="E9">
            <v>54</v>
          </cell>
        </row>
        <row r="84">
          <cell r="E84">
            <v>0.1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9">
          <cell r="I9">
            <v>2100</v>
          </cell>
        </row>
      </sheetData>
      <sheetData sheetId="35">
        <row r="5">
          <cell r="A5" t="str">
            <v>CSC: Planning and Mobilization</v>
          </cell>
        </row>
      </sheetData>
      <sheetData sheetId="36">
        <row r="5">
          <cell r="E5" t="str">
            <v>Duration (months)</v>
          </cell>
        </row>
      </sheetData>
      <sheetData sheetId="37">
        <row r="8">
          <cell r="G8" t="str">
            <v>-</v>
          </cell>
        </row>
      </sheetData>
      <sheetData sheetId="38">
        <row r="10">
          <cell r="C10" t="str">
            <v>Hours/FTE</v>
          </cell>
        </row>
      </sheetData>
      <sheetData sheetId="39">
        <row r="5">
          <cell r="D5" t="str">
            <v>Hours</v>
          </cell>
        </row>
      </sheetData>
      <sheetData sheetId="40">
        <row r="5">
          <cell r="J5" t="str">
            <v>PMO</v>
          </cell>
        </row>
      </sheetData>
      <sheetData sheetId="41">
        <row r="4">
          <cell r="F4" t="str">
            <v>Year 5</v>
          </cell>
        </row>
      </sheetData>
      <sheetData sheetId="42" refreshError="1"/>
      <sheetData sheetId="43" refreshError="1"/>
      <sheetData sheetId="44" refreshError="1"/>
      <sheetData sheetId="45">
        <row r="45">
          <cell r="H45" t="str">
            <v>-</v>
          </cell>
        </row>
      </sheetData>
      <sheetData sheetId="46" refreshError="1"/>
      <sheetData sheetId="47" refreshError="1"/>
      <sheetData sheetId="48" refreshError="1"/>
      <sheetData sheetId="49" refreshError="1"/>
      <sheetData sheetId="5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Table of Contents "/>
      <sheetName val="Dashboard"/>
      <sheetName val="Breakeven Point"/>
      <sheetName val="Cost of Delay"/>
      <sheetName val="Summary of Benefits"/>
      <sheetName val="Summary of Costs"/>
      <sheetName val="B-I_Grp"/>
      <sheetName val="Jeanne Shepard"/>
      <sheetName val="Group Defection Summary"/>
      <sheetName val="Group Retention Data"/>
      <sheetName val="B-II_Grp"/>
      <sheetName val="B-III_Grp"/>
      <sheetName val="B-I_Ind"/>
      <sheetName val="BancTec"/>
      <sheetName val="B-II_Ind"/>
      <sheetName val="B-III_Ind"/>
      <sheetName val="B-IV_Ind"/>
      <sheetName val="Payment Processing"/>
      <sheetName val="B-V_Ind"/>
      <sheetName val="B-VI_Ind"/>
      <sheetName val="B-VII_Ind"/>
      <sheetName val="B-VIII_Ind"/>
      <sheetName val="B-IX_Ind"/>
      <sheetName val="Aflac_10K"/>
      <sheetName val="Hardware and Software"/>
      <sheetName val="Billing Solution Implementation"/>
      <sheetName val="Legacy System Change"/>
      <sheetName val="Ongoing Costs"/>
      <sheetName val="Benefit Descriptions"/>
      <sheetName val="Benefit Run Rate Waterfall"/>
      <sheetName val="NPV Gap"/>
      <sheetName val="NPV Scenarios"/>
      <sheetName val="WACC"/>
    </sheetNames>
    <sheetDataSet>
      <sheetData sheetId="0"/>
      <sheetData sheetId="1"/>
      <sheetData sheetId="2">
        <row r="10">
          <cell r="C10">
            <v>7.0000000000000007E-2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92">
          <cell r="C92">
            <v>0.81018740484035678</v>
          </cell>
        </row>
      </sheetData>
      <sheetData sheetId="25"/>
      <sheetData sheetId="26"/>
      <sheetData sheetId="27"/>
      <sheetData sheetId="28"/>
      <sheetData sheetId="29"/>
      <sheetData sheetId="30"/>
      <sheetData sheetId="31">
        <row r="2">
          <cell r="C2" t="str">
            <v>Individual</v>
          </cell>
        </row>
      </sheetData>
      <sheetData sheetId="32"/>
      <sheetData sheetId="33">
        <row r="42">
          <cell r="E42">
            <v>0.11872295096770315</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Table of Contents"/>
      <sheetName val="Data Request"/>
      <sheetName val="Benefit Summary"/>
      <sheetName val="Benefit Summary (2)"/>
      <sheetName val="B-I - Group"/>
      <sheetName val="Jeanne Shepard"/>
      <sheetName val="B-II - Ind Ops"/>
      <sheetName val="B-III - Fin"/>
      <sheetName val="Aflac_10K"/>
      <sheetName val="B-IV - Mktg"/>
      <sheetName val="B-V - IT"/>
      <sheetName val="Cost Summary"/>
      <sheetName val="Planning and Mobilization"/>
      <sheetName val="Hardware and Software"/>
      <sheetName val="Implementation"/>
      <sheetName val="Other One-time"/>
      <sheetName val="External Vendor Support"/>
      <sheetName val="Internal Vendor Support"/>
      <sheetName val="Software Upgrades"/>
    </sheetNames>
    <sheetDataSet>
      <sheetData sheetId="0"/>
      <sheetData sheetId="1"/>
      <sheetData sheetId="2"/>
      <sheetData sheetId="3">
        <row r="5">
          <cell r="D5">
            <v>0.12001534763505917</v>
          </cell>
        </row>
      </sheetData>
      <sheetData sheetId="4"/>
      <sheetData sheetId="5"/>
      <sheetData sheetId="6"/>
      <sheetData sheetId="7"/>
      <sheetData sheetId="8"/>
      <sheetData sheetId="9">
        <row r="92">
          <cell r="C92">
            <v>0.81018740484035678</v>
          </cell>
        </row>
      </sheetData>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tabSelected="1" zoomScale="70" zoomScaleNormal="70" zoomScalePageLayoutView="110" workbookViewId="0"/>
  </sheetViews>
  <sheetFormatPr defaultColWidth="9.1796875" defaultRowHeight="14.5"/>
  <cols>
    <col min="1" max="1" width="124.26953125" style="30" customWidth="1"/>
    <col min="2" max="2" width="18" style="30" customWidth="1"/>
    <col min="3" max="16384" width="9.1796875" style="30"/>
  </cols>
  <sheetData>
    <row r="1" spans="1:1" ht="55.5" customHeight="1">
      <c r="A1" s="29"/>
    </row>
    <row r="2" spans="1:1" ht="41.25" customHeight="1">
      <c r="A2" s="37" t="s">
        <v>2977</v>
      </c>
    </row>
    <row r="3" spans="1:1" ht="20.5">
      <c r="A3" s="38" t="s">
        <v>1281</v>
      </c>
    </row>
    <row r="4" spans="1:1" ht="114.75" customHeight="1">
      <c r="A4" s="39" t="s">
        <v>2976</v>
      </c>
    </row>
    <row r="5" spans="1:1" ht="18">
      <c r="A5" s="40" t="s">
        <v>21</v>
      </c>
    </row>
    <row r="6" spans="1:1" ht="187.5" customHeight="1">
      <c r="A6" s="41" t="s">
        <v>1282</v>
      </c>
    </row>
    <row r="7" spans="1:1" ht="30" customHeight="1">
      <c r="A7" s="42" t="s">
        <v>3198</v>
      </c>
    </row>
    <row r="8" spans="1:1">
      <c r="A8" s="43"/>
    </row>
  </sheetData>
  <pageMargins left="0.7" right="0.7" top="0.75" bottom="0.75" header="0.3" footer="0.3"/>
  <pageSetup orientation="landscape" r:id="rId1"/>
  <headerFooter>
    <oddFooter>&amp;LBusiness Architecture Guild Copyright 2019 &amp;RFinancial Services Reference Model v2.0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zoomScaleNormal="100" zoomScalePageLayoutView="110" workbookViewId="0">
      <selection activeCell="A2" sqref="A2"/>
    </sheetView>
  </sheetViews>
  <sheetFormatPr defaultColWidth="8.81640625" defaultRowHeight="14.5"/>
  <cols>
    <col min="1" max="1" width="120" customWidth="1"/>
    <col min="2" max="2" width="18" customWidth="1"/>
  </cols>
  <sheetData>
    <row r="1" spans="1:1" ht="30.5" customHeight="1">
      <c r="A1" s="5" t="s">
        <v>1806</v>
      </c>
    </row>
    <row r="2" spans="1:1" ht="28" customHeight="1">
      <c r="A2" s="28" t="s">
        <v>12</v>
      </c>
    </row>
    <row r="3" spans="1:1" ht="27" customHeight="1">
      <c r="A3" s="28" t="s">
        <v>18</v>
      </c>
    </row>
    <row r="4" spans="1:1" ht="26.5" customHeight="1">
      <c r="A4" s="123" t="s">
        <v>3227</v>
      </c>
    </row>
    <row r="5" spans="1:1" ht="29" customHeight="1">
      <c r="A5" s="28" t="s">
        <v>1118</v>
      </c>
    </row>
    <row r="6" spans="1:1" ht="30.5" customHeight="1">
      <c r="A6" s="28" t="s">
        <v>3228</v>
      </c>
    </row>
  </sheetData>
  <hyperlinks>
    <hyperlink ref="A2" location="'Capability Map'!A1" display="Capability Map: Basic capability mapping with tier, level, name and definition" xr:uid="{00000000-0004-0000-0100-000000000000}"/>
    <hyperlink ref="A3" location="'Value Streams Inventory'!A1" display="Value Stream Inventory: Inventory list of all value streams" xr:uid="{00000000-0004-0000-0100-000001000000}"/>
    <hyperlink ref="A5" location="'Organization Map'!A1" display="Organization Map: Business unit decomposition" xr:uid="{00000000-0004-0000-0100-000002000000}"/>
    <hyperlink ref="A6" location="'Stakeholder Map'!A1" display="Stakeholder Map: Stakeholder type, stakeholder category, stakeholder, and stakeholder definition" xr:uid="{00000000-0004-0000-0100-000003000000}"/>
    <hyperlink ref="A4" location="'Information Map'!A1" display="Information Concepts" xr:uid="{00000000-0004-0000-0100-000004000000}"/>
  </hyperlinks>
  <pageMargins left="0.7" right="0.7" top="0.75" bottom="0.75" header="0.3" footer="0.3"/>
  <pageSetup orientation="landscape" r:id="rId1"/>
  <headerFooter>
    <oddFooter>&amp;LBusiness Architecture Guild Copyright 2019 &amp;RFinancial Services Reference Model v2.0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pageSetUpPr fitToPage="1"/>
  </sheetPr>
  <dimension ref="A1:D1099"/>
  <sheetViews>
    <sheetView zoomScale="94" zoomScaleNormal="94" zoomScalePageLayoutView="110" workbookViewId="0">
      <selection sqref="A1:D1"/>
    </sheetView>
  </sheetViews>
  <sheetFormatPr defaultColWidth="8.7265625" defaultRowHeight="14.5"/>
  <cols>
    <col min="1" max="1" width="9.7265625" customWidth="1"/>
    <col min="2" max="2" width="10.54296875" customWidth="1"/>
    <col min="3" max="3" width="37.08984375" style="8" customWidth="1"/>
    <col min="4" max="4" width="97.90625" customWidth="1"/>
  </cols>
  <sheetData>
    <row r="1" spans="1:4" s="32" customFormat="1" ht="15.5">
      <c r="A1" s="161" t="s">
        <v>12</v>
      </c>
      <c r="B1" s="161"/>
      <c r="C1" s="161"/>
      <c r="D1" s="161"/>
    </row>
    <row r="2" spans="1:4" s="36" customFormat="1" ht="15.5">
      <c r="A2" s="33" t="s">
        <v>2</v>
      </c>
      <c r="B2" s="33" t="s">
        <v>3</v>
      </c>
      <c r="C2" s="34" t="s">
        <v>0</v>
      </c>
      <c r="D2" s="35" t="s">
        <v>1</v>
      </c>
    </row>
    <row r="3" spans="1:4" s="115" customFormat="1" ht="29">
      <c r="A3" s="114">
        <v>1</v>
      </c>
      <c r="B3" s="114">
        <v>1</v>
      </c>
      <c r="C3" s="58" t="s">
        <v>23</v>
      </c>
      <c r="D3" s="58" t="s">
        <v>3010</v>
      </c>
    </row>
    <row r="4" spans="1:4" s="115" customFormat="1" ht="29">
      <c r="A4" s="114">
        <v>1</v>
      </c>
      <c r="B4" s="114">
        <v>2</v>
      </c>
      <c r="C4" s="58" t="s">
        <v>24</v>
      </c>
      <c r="D4" s="58" t="s">
        <v>2701</v>
      </c>
    </row>
    <row r="5" spans="1:4" s="115" customFormat="1" ht="29">
      <c r="A5" s="114">
        <v>1</v>
      </c>
      <c r="B5" s="114">
        <v>3</v>
      </c>
      <c r="C5" s="58" t="s">
        <v>25</v>
      </c>
      <c r="D5" s="58" t="s">
        <v>26</v>
      </c>
    </row>
    <row r="6" spans="1:4" s="115" customFormat="1" ht="29">
      <c r="A6" s="114">
        <v>1</v>
      </c>
      <c r="B6" s="114">
        <v>3</v>
      </c>
      <c r="C6" s="58" t="s">
        <v>27</v>
      </c>
      <c r="D6" s="58" t="s">
        <v>28</v>
      </c>
    </row>
    <row r="7" spans="1:4" s="115" customFormat="1">
      <c r="A7" s="114">
        <v>1</v>
      </c>
      <c r="B7" s="114">
        <v>2</v>
      </c>
      <c r="C7" s="58" t="s">
        <v>29</v>
      </c>
      <c r="D7" s="58" t="s">
        <v>30</v>
      </c>
    </row>
    <row r="8" spans="1:4" s="115" customFormat="1">
      <c r="A8" s="114">
        <v>1</v>
      </c>
      <c r="B8" s="114">
        <v>3</v>
      </c>
      <c r="C8" s="58" t="s">
        <v>31</v>
      </c>
      <c r="D8" s="58" t="s">
        <v>32</v>
      </c>
    </row>
    <row r="9" spans="1:4" s="115" customFormat="1" ht="18.5" customHeight="1">
      <c r="A9" s="114">
        <v>1</v>
      </c>
      <c r="B9" s="114">
        <v>3</v>
      </c>
      <c r="C9" s="58" t="s">
        <v>33</v>
      </c>
      <c r="D9" s="58" t="s">
        <v>1255</v>
      </c>
    </row>
    <row r="10" spans="1:4" s="115" customFormat="1" ht="28.5" customHeight="1">
      <c r="A10" s="114">
        <v>1</v>
      </c>
      <c r="B10" s="114">
        <v>3</v>
      </c>
      <c r="C10" s="58" t="s">
        <v>34</v>
      </c>
      <c r="D10" s="58" t="s">
        <v>35</v>
      </c>
    </row>
    <row r="11" spans="1:4" s="115" customFormat="1" ht="29">
      <c r="A11" s="114">
        <v>1</v>
      </c>
      <c r="B11" s="114">
        <v>2</v>
      </c>
      <c r="C11" s="58" t="s">
        <v>36</v>
      </c>
      <c r="D11" s="58" t="s">
        <v>37</v>
      </c>
    </row>
    <row r="12" spans="1:4" s="115" customFormat="1" ht="29">
      <c r="A12" s="114">
        <v>1</v>
      </c>
      <c r="B12" s="114">
        <v>2</v>
      </c>
      <c r="C12" s="58" t="s">
        <v>38</v>
      </c>
      <c r="D12" s="58" t="s">
        <v>39</v>
      </c>
    </row>
    <row r="13" spans="1:4" s="115" customFormat="1" ht="29">
      <c r="A13" s="114">
        <v>1</v>
      </c>
      <c r="B13" s="114">
        <v>2</v>
      </c>
      <c r="C13" s="58" t="s">
        <v>40</v>
      </c>
      <c r="D13" s="58" t="s">
        <v>41</v>
      </c>
    </row>
    <row r="14" spans="1:4" s="115" customFormat="1" ht="29">
      <c r="A14" s="114">
        <v>1</v>
      </c>
      <c r="B14" s="114">
        <v>2</v>
      </c>
      <c r="C14" s="58" t="s">
        <v>42</v>
      </c>
      <c r="D14" s="58" t="s">
        <v>3069</v>
      </c>
    </row>
    <row r="15" spans="1:4" s="115" customFormat="1" ht="29">
      <c r="A15" s="114">
        <v>1</v>
      </c>
      <c r="B15" s="114">
        <v>3</v>
      </c>
      <c r="C15" s="58" t="s">
        <v>1807</v>
      </c>
      <c r="D15" s="58" t="s">
        <v>2736</v>
      </c>
    </row>
    <row r="16" spans="1:4" s="115" customFormat="1" ht="29">
      <c r="A16" s="114">
        <v>1</v>
      </c>
      <c r="B16" s="114">
        <v>3</v>
      </c>
      <c r="C16" s="58" t="s">
        <v>1808</v>
      </c>
      <c r="D16" s="58" t="s">
        <v>1256</v>
      </c>
    </row>
    <row r="17" spans="1:4" s="115" customFormat="1">
      <c r="A17" s="114">
        <v>1</v>
      </c>
      <c r="B17" s="114">
        <v>3</v>
      </c>
      <c r="C17" s="58" t="s">
        <v>1809</v>
      </c>
      <c r="D17" s="58" t="s">
        <v>43</v>
      </c>
    </row>
    <row r="18" spans="1:4" s="115" customFormat="1" ht="29">
      <c r="A18" s="114">
        <v>1</v>
      </c>
      <c r="B18" s="114">
        <v>3</v>
      </c>
      <c r="C18" s="58" t="s">
        <v>1810</v>
      </c>
      <c r="D18" s="58" t="s">
        <v>44</v>
      </c>
    </row>
    <row r="19" spans="1:4" s="115" customFormat="1" ht="43.5">
      <c r="A19" s="114">
        <v>1</v>
      </c>
      <c r="B19" s="114">
        <v>3</v>
      </c>
      <c r="C19" s="58" t="s">
        <v>1811</v>
      </c>
      <c r="D19" s="58" t="s">
        <v>3070</v>
      </c>
    </row>
    <row r="20" spans="1:4" s="115" customFormat="1">
      <c r="A20" s="114">
        <v>1</v>
      </c>
      <c r="B20" s="114">
        <v>3</v>
      </c>
      <c r="C20" s="58" t="s">
        <v>1812</v>
      </c>
      <c r="D20" s="58" t="s">
        <v>45</v>
      </c>
    </row>
    <row r="21" spans="1:4" s="115" customFormat="1">
      <c r="A21" s="114">
        <v>1</v>
      </c>
      <c r="B21" s="114">
        <v>3</v>
      </c>
      <c r="C21" s="58" t="s">
        <v>3071</v>
      </c>
      <c r="D21" s="58" t="s">
        <v>2702</v>
      </c>
    </row>
    <row r="22" spans="1:4" s="115" customFormat="1" ht="29">
      <c r="A22" s="114">
        <v>1</v>
      </c>
      <c r="B22" s="114">
        <v>2</v>
      </c>
      <c r="C22" s="58" t="s">
        <v>46</v>
      </c>
      <c r="D22" s="58" t="s">
        <v>47</v>
      </c>
    </row>
    <row r="23" spans="1:4" s="115" customFormat="1" ht="29">
      <c r="A23" s="114">
        <v>1</v>
      </c>
      <c r="B23" s="114">
        <v>3</v>
      </c>
      <c r="C23" s="58" t="s">
        <v>48</v>
      </c>
      <c r="D23" s="58" t="s">
        <v>2228</v>
      </c>
    </row>
    <row r="24" spans="1:4" s="115" customFormat="1">
      <c r="A24" s="114">
        <v>1</v>
      </c>
      <c r="B24" s="114">
        <v>3</v>
      </c>
      <c r="C24" s="58" t="s">
        <v>49</v>
      </c>
      <c r="D24" s="58" t="s">
        <v>50</v>
      </c>
    </row>
    <row r="25" spans="1:4" s="115" customFormat="1">
      <c r="A25" s="114">
        <v>1</v>
      </c>
      <c r="B25" s="114">
        <v>3</v>
      </c>
      <c r="C25" s="58" t="s">
        <v>51</v>
      </c>
      <c r="D25" s="58" t="s">
        <v>52</v>
      </c>
    </row>
    <row r="26" spans="1:4" s="115" customFormat="1">
      <c r="A26" s="114">
        <v>1</v>
      </c>
      <c r="B26" s="114">
        <v>3</v>
      </c>
      <c r="C26" s="58" t="s">
        <v>53</v>
      </c>
      <c r="D26" s="58" t="s">
        <v>3072</v>
      </c>
    </row>
    <row r="27" spans="1:4" s="115" customFormat="1" ht="29">
      <c r="A27" s="114">
        <v>1</v>
      </c>
      <c r="B27" s="114">
        <v>3</v>
      </c>
      <c r="C27" s="58" t="s">
        <v>54</v>
      </c>
      <c r="D27" s="58" t="s">
        <v>55</v>
      </c>
    </row>
    <row r="28" spans="1:4" s="115" customFormat="1" ht="21.5" customHeight="1">
      <c r="A28" s="114">
        <v>1</v>
      </c>
      <c r="B28" s="114">
        <v>1</v>
      </c>
      <c r="C28" s="58" t="s">
        <v>56</v>
      </c>
      <c r="D28" s="58" t="s">
        <v>2229</v>
      </c>
    </row>
    <row r="29" spans="1:4" s="115" customFormat="1">
      <c r="A29" s="114">
        <v>1</v>
      </c>
      <c r="B29" s="114">
        <v>2</v>
      </c>
      <c r="C29" s="58" t="s">
        <v>57</v>
      </c>
      <c r="D29" s="58" t="s">
        <v>58</v>
      </c>
    </row>
    <row r="30" spans="1:4" s="115" customFormat="1" ht="37" customHeight="1">
      <c r="A30" s="114">
        <v>1</v>
      </c>
      <c r="B30" s="114">
        <v>2</v>
      </c>
      <c r="C30" s="58" t="s">
        <v>59</v>
      </c>
      <c r="D30" s="58" t="s">
        <v>60</v>
      </c>
    </row>
    <row r="31" spans="1:4" s="115" customFormat="1" ht="29">
      <c r="A31" s="114">
        <v>1</v>
      </c>
      <c r="B31" s="114">
        <v>2</v>
      </c>
      <c r="C31" s="58" t="s">
        <v>61</v>
      </c>
      <c r="D31" s="58" t="s">
        <v>62</v>
      </c>
    </row>
    <row r="32" spans="1:4" s="115" customFormat="1" ht="29">
      <c r="A32" s="114">
        <v>1</v>
      </c>
      <c r="B32" s="114">
        <v>2</v>
      </c>
      <c r="C32" s="58" t="s">
        <v>63</v>
      </c>
      <c r="D32" s="58" t="s">
        <v>64</v>
      </c>
    </row>
    <row r="33" spans="1:4" s="115" customFormat="1" ht="29">
      <c r="A33" s="114">
        <v>1</v>
      </c>
      <c r="B33" s="114">
        <v>3</v>
      </c>
      <c r="C33" s="58" t="s">
        <v>65</v>
      </c>
      <c r="D33" s="58" t="s">
        <v>32</v>
      </c>
    </row>
    <row r="34" spans="1:4" s="115" customFormat="1" ht="29">
      <c r="A34" s="114">
        <v>1</v>
      </c>
      <c r="B34" s="114">
        <v>3</v>
      </c>
      <c r="C34" s="58" t="s">
        <v>66</v>
      </c>
      <c r="D34" s="58" t="s">
        <v>1257</v>
      </c>
    </row>
    <row r="35" spans="1:4" s="115" customFormat="1" ht="29">
      <c r="A35" s="114">
        <v>1</v>
      </c>
      <c r="B35" s="114">
        <v>3</v>
      </c>
      <c r="C35" s="58" t="s">
        <v>67</v>
      </c>
      <c r="D35" s="58" t="s">
        <v>68</v>
      </c>
    </row>
    <row r="36" spans="1:4" s="115" customFormat="1" ht="29">
      <c r="A36" s="114">
        <v>1</v>
      </c>
      <c r="B36" s="114">
        <v>2</v>
      </c>
      <c r="C36" s="58" t="s">
        <v>69</v>
      </c>
      <c r="D36" s="58" t="s">
        <v>70</v>
      </c>
    </row>
    <row r="37" spans="1:4" s="115" customFormat="1">
      <c r="A37" s="114">
        <v>1</v>
      </c>
      <c r="B37" s="114">
        <v>3</v>
      </c>
      <c r="C37" s="58" t="s">
        <v>71</v>
      </c>
      <c r="D37" s="58" t="s">
        <v>72</v>
      </c>
    </row>
    <row r="38" spans="1:4" s="115" customFormat="1" ht="29">
      <c r="A38" s="114">
        <v>1</v>
      </c>
      <c r="B38" s="114">
        <v>3</v>
      </c>
      <c r="C38" s="58" t="s">
        <v>73</v>
      </c>
      <c r="D38" s="58" t="s">
        <v>74</v>
      </c>
    </row>
    <row r="39" spans="1:4" s="115" customFormat="1" ht="29">
      <c r="A39" s="114">
        <v>1</v>
      </c>
      <c r="B39" s="114">
        <v>3</v>
      </c>
      <c r="C39" s="58" t="s">
        <v>75</v>
      </c>
      <c r="D39" s="58" t="s">
        <v>2230</v>
      </c>
    </row>
    <row r="40" spans="1:4" s="115" customFormat="1">
      <c r="A40" s="114">
        <v>1</v>
      </c>
      <c r="B40" s="114">
        <v>2</v>
      </c>
      <c r="C40" s="58" t="s">
        <v>76</v>
      </c>
      <c r="D40" s="58" t="s">
        <v>77</v>
      </c>
    </row>
    <row r="41" spans="1:4" s="115" customFormat="1">
      <c r="A41" s="114">
        <v>1</v>
      </c>
      <c r="B41" s="114">
        <v>3</v>
      </c>
      <c r="C41" s="58" t="s">
        <v>3073</v>
      </c>
      <c r="D41" s="58" t="s">
        <v>78</v>
      </c>
    </row>
    <row r="42" spans="1:4" s="115" customFormat="1" ht="29">
      <c r="A42" s="114">
        <v>1</v>
      </c>
      <c r="B42" s="114">
        <v>3</v>
      </c>
      <c r="C42" s="58" t="s">
        <v>3074</v>
      </c>
      <c r="D42" s="58" t="s">
        <v>79</v>
      </c>
    </row>
    <row r="43" spans="1:4" s="115" customFormat="1">
      <c r="A43" s="114">
        <v>1</v>
      </c>
      <c r="B43" s="114">
        <v>3</v>
      </c>
      <c r="C43" s="58" t="s">
        <v>3075</v>
      </c>
      <c r="D43" s="58" t="s">
        <v>80</v>
      </c>
    </row>
    <row r="44" spans="1:4" s="115" customFormat="1">
      <c r="A44" s="114">
        <v>1</v>
      </c>
      <c r="B44" s="114">
        <v>3</v>
      </c>
      <c r="C44" s="58" t="s">
        <v>3207</v>
      </c>
      <c r="D44" s="58" t="s">
        <v>81</v>
      </c>
    </row>
    <row r="45" spans="1:4" s="118" customFormat="1" ht="29">
      <c r="A45" s="116">
        <v>1</v>
      </c>
      <c r="B45" s="116">
        <v>3</v>
      </c>
      <c r="C45" s="117" t="s">
        <v>3208</v>
      </c>
      <c r="D45" s="117" t="s">
        <v>2959</v>
      </c>
    </row>
    <row r="46" spans="1:4" s="115" customFormat="1">
      <c r="A46" s="114">
        <v>1</v>
      </c>
      <c r="B46" s="114">
        <v>3</v>
      </c>
      <c r="C46" s="58" t="s">
        <v>3076</v>
      </c>
      <c r="D46" s="58" t="s">
        <v>2231</v>
      </c>
    </row>
    <row r="47" spans="1:4" s="115" customFormat="1">
      <c r="A47" s="114">
        <v>1</v>
      </c>
      <c r="B47" s="114">
        <v>2</v>
      </c>
      <c r="C47" s="58" t="s">
        <v>82</v>
      </c>
      <c r="D47" s="58" t="s">
        <v>1813</v>
      </c>
    </row>
    <row r="48" spans="1:4" s="115" customFormat="1" ht="29">
      <c r="A48" s="114">
        <v>1</v>
      </c>
      <c r="B48" s="114">
        <v>3</v>
      </c>
      <c r="C48" s="58" t="s">
        <v>83</v>
      </c>
      <c r="D48" s="58" t="s">
        <v>84</v>
      </c>
    </row>
    <row r="49" spans="1:4" s="115" customFormat="1">
      <c r="A49" s="114">
        <v>1</v>
      </c>
      <c r="B49" s="114">
        <v>3</v>
      </c>
      <c r="C49" s="58" t="s">
        <v>85</v>
      </c>
      <c r="D49" s="58" t="s">
        <v>86</v>
      </c>
    </row>
    <row r="50" spans="1:4" s="115" customFormat="1">
      <c r="A50" s="114">
        <v>1</v>
      </c>
      <c r="B50" s="114">
        <v>3</v>
      </c>
      <c r="C50" s="58" t="s">
        <v>87</v>
      </c>
      <c r="D50" s="58" t="s">
        <v>88</v>
      </c>
    </row>
    <row r="51" spans="1:4" s="115" customFormat="1">
      <c r="A51" s="114">
        <v>1</v>
      </c>
      <c r="B51" s="114">
        <v>3</v>
      </c>
      <c r="C51" s="58" t="s">
        <v>89</v>
      </c>
      <c r="D51" s="58" t="s">
        <v>90</v>
      </c>
    </row>
    <row r="52" spans="1:4" s="115" customFormat="1" ht="29">
      <c r="A52" s="114">
        <v>1</v>
      </c>
      <c r="B52" s="114">
        <v>3</v>
      </c>
      <c r="C52" s="58" t="s">
        <v>91</v>
      </c>
      <c r="D52" s="58" t="s">
        <v>2232</v>
      </c>
    </row>
    <row r="53" spans="1:4" s="115" customFormat="1" ht="48.5" customHeight="1">
      <c r="A53" s="114">
        <v>1</v>
      </c>
      <c r="B53" s="114">
        <v>1</v>
      </c>
      <c r="C53" s="58" t="s">
        <v>92</v>
      </c>
      <c r="D53" s="58" t="s">
        <v>2233</v>
      </c>
    </row>
    <row r="54" spans="1:4" s="115" customFormat="1">
      <c r="A54" s="114">
        <v>1</v>
      </c>
      <c r="B54" s="114">
        <v>2</v>
      </c>
      <c r="C54" s="58" t="s">
        <v>93</v>
      </c>
      <c r="D54" s="58" t="s">
        <v>94</v>
      </c>
    </row>
    <row r="55" spans="1:4" s="115" customFormat="1" ht="29">
      <c r="A55" s="114">
        <v>1</v>
      </c>
      <c r="B55" s="114">
        <v>2</v>
      </c>
      <c r="C55" s="58" t="s">
        <v>95</v>
      </c>
      <c r="D55" s="58" t="s">
        <v>96</v>
      </c>
    </row>
    <row r="56" spans="1:4" s="115" customFormat="1">
      <c r="A56" s="114">
        <v>1</v>
      </c>
      <c r="B56" s="114">
        <v>2</v>
      </c>
      <c r="C56" s="58" t="s">
        <v>97</v>
      </c>
      <c r="D56" s="58" t="s">
        <v>98</v>
      </c>
    </row>
    <row r="57" spans="1:4" s="115" customFormat="1">
      <c r="A57" s="114">
        <v>1</v>
      </c>
      <c r="B57" s="114">
        <v>2</v>
      </c>
      <c r="C57" s="58" t="s">
        <v>99</v>
      </c>
      <c r="D57" s="58" t="s">
        <v>100</v>
      </c>
    </row>
    <row r="58" spans="1:4" s="115" customFormat="1">
      <c r="A58" s="114">
        <v>1</v>
      </c>
      <c r="B58" s="114">
        <v>3</v>
      </c>
      <c r="C58" s="58" t="s">
        <v>101</v>
      </c>
      <c r="D58" s="58" t="s">
        <v>102</v>
      </c>
    </row>
    <row r="59" spans="1:4" s="115" customFormat="1">
      <c r="A59" s="114">
        <v>1</v>
      </c>
      <c r="B59" s="114">
        <v>3</v>
      </c>
      <c r="C59" s="58" t="s">
        <v>103</v>
      </c>
      <c r="D59" s="58" t="s">
        <v>104</v>
      </c>
    </row>
    <row r="60" spans="1:4" s="115" customFormat="1">
      <c r="A60" s="114">
        <v>1</v>
      </c>
      <c r="B60" s="114">
        <v>3</v>
      </c>
      <c r="C60" s="58" t="s">
        <v>105</v>
      </c>
      <c r="D60" s="58" t="s">
        <v>106</v>
      </c>
    </row>
    <row r="61" spans="1:4" s="115" customFormat="1">
      <c r="A61" s="114">
        <v>1</v>
      </c>
      <c r="B61" s="114">
        <v>2</v>
      </c>
      <c r="C61" s="58" t="s">
        <v>107</v>
      </c>
      <c r="D61" s="58" t="s">
        <v>108</v>
      </c>
    </row>
    <row r="62" spans="1:4" s="115" customFormat="1">
      <c r="A62" s="114">
        <v>1</v>
      </c>
      <c r="B62" s="114">
        <v>3</v>
      </c>
      <c r="C62" s="58" t="s">
        <v>109</v>
      </c>
      <c r="D62" s="58" t="s">
        <v>110</v>
      </c>
    </row>
    <row r="63" spans="1:4" s="115" customFormat="1">
      <c r="A63" s="114">
        <v>1</v>
      </c>
      <c r="B63" s="114">
        <v>3</v>
      </c>
      <c r="C63" s="58" t="s">
        <v>111</v>
      </c>
      <c r="D63" s="58" t="s">
        <v>112</v>
      </c>
    </row>
    <row r="64" spans="1:4" s="115" customFormat="1" ht="29">
      <c r="A64" s="114">
        <v>1</v>
      </c>
      <c r="B64" s="114">
        <v>3</v>
      </c>
      <c r="C64" s="58" t="s">
        <v>113</v>
      </c>
      <c r="D64" s="58" t="s">
        <v>114</v>
      </c>
    </row>
    <row r="65" spans="1:4" s="115" customFormat="1" ht="20.5" customHeight="1">
      <c r="A65" s="114">
        <v>1</v>
      </c>
      <c r="B65" s="114">
        <v>2</v>
      </c>
      <c r="C65" s="58" t="s">
        <v>115</v>
      </c>
      <c r="D65" s="58" t="s">
        <v>2234</v>
      </c>
    </row>
    <row r="66" spans="1:4" s="115" customFormat="1" ht="21.5" customHeight="1">
      <c r="A66" s="114">
        <v>1</v>
      </c>
      <c r="B66" s="114">
        <v>3</v>
      </c>
      <c r="C66" s="58" t="s">
        <v>116</v>
      </c>
      <c r="D66" s="58" t="s">
        <v>32</v>
      </c>
    </row>
    <row r="67" spans="1:4" s="115" customFormat="1" ht="29">
      <c r="A67" s="114">
        <v>1</v>
      </c>
      <c r="B67" s="114">
        <v>3</v>
      </c>
      <c r="C67" s="58" t="s">
        <v>117</v>
      </c>
      <c r="D67" s="58" t="s">
        <v>1258</v>
      </c>
    </row>
    <row r="68" spans="1:4" s="115" customFormat="1" ht="29">
      <c r="A68" s="114">
        <v>1</v>
      </c>
      <c r="B68" s="114">
        <v>3</v>
      </c>
      <c r="C68" s="58" t="s">
        <v>118</v>
      </c>
      <c r="D68" s="58" t="s">
        <v>119</v>
      </c>
    </row>
    <row r="69" spans="1:4" s="115" customFormat="1">
      <c r="A69" s="114">
        <v>1</v>
      </c>
      <c r="B69" s="114">
        <v>2</v>
      </c>
      <c r="C69" s="58" t="s">
        <v>120</v>
      </c>
      <c r="D69" s="58" t="s">
        <v>121</v>
      </c>
    </row>
    <row r="70" spans="1:4" s="115" customFormat="1">
      <c r="A70" s="114">
        <v>1</v>
      </c>
      <c r="B70" s="114">
        <v>3</v>
      </c>
      <c r="C70" s="58" t="s">
        <v>1814</v>
      </c>
      <c r="D70" s="58" t="s">
        <v>122</v>
      </c>
    </row>
    <row r="71" spans="1:4" s="115" customFormat="1">
      <c r="A71" s="114">
        <v>1</v>
      </c>
      <c r="B71" s="114">
        <v>3</v>
      </c>
      <c r="C71" s="58" t="s">
        <v>2214</v>
      </c>
      <c r="D71" s="58" t="s">
        <v>123</v>
      </c>
    </row>
    <row r="72" spans="1:4" s="115" customFormat="1">
      <c r="A72" s="114">
        <v>1</v>
      </c>
      <c r="B72" s="114">
        <v>3</v>
      </c>
      <c r="C72" s="58" t="s">
        <v>1815</v>
      </c>
      <c r="D72" s="58" t="s">
        <v>124</v>
      </c>
    </row>
    <row r="73" spans="1:4" s="115" customFormat="1">
      <c r="A73" s="114">
        <v>1</v>
      </c>
      <c r="B73" s="114">
        <v>3</v>
      </c>
      <c r="C73" s="58" t="s">
        <v>1816</v>
      </c>
      <c r="D73" s="58" t="s">
        <v>1259</v>
      </c>
    </row>
    <row r="74" spans="1:4" s="115" customFormat="1" ht="19.5" customHeight="1">
      <c r="A74" s="114">
        <v>1</v>
      </c>
      <c r="B74" s="114">
        <v>3</v>
      </c>
      <c r="C74" s="58" t="s">
        <v>1817</v>
      </c>
      <c r="D74" s="58" t="s">
        <v>125</v>
      </c>
    </row>
    <row r="75" spans="1:4" s="115" customFormat="1">
      <c r="A75" s="114">
        <v>1</v>
      </c>
      <c r="B75" s="114">
        <v>3</v>
      </c>
      <c r="C75" s="58" t="s">
        <v>1818</v>
      </c>
      <c r="D75" s="58" t="s">
        <v>126</v>
      </c>
    </row>
    <row r="76" spans="1:4" s="115" customFormat="1">
      <c r="A76" s="114">
        <v>1</v>
      </c>
      <c r="B76" s="114">
        <v>3</v>
      </c>
      <c r="C76" s="58" t="s">
        <v>1819</v>
      </c>
      <c r="D76" s="58" t="s">
        <v>127</v>
      </c>
    </row>
    <row r="77" spans="1:4" s="115" customFormat="1">
      <c r="A77" s="114">
        <v>1</v>
      </c>
      <c r="B77" s="114">
        <v>3</v>
      </c>
      <c r="C77" s="58" t="s">
        <v>1820</v>
      </c>
      <c r="D77" s="58" t="s">
        <v>128</v>
      </c>
    </row>
    <row r="78" spans="1:4" s="115" customFormat="1">
      <c r="A78" s="114">
        <v>1</v>
      </c>
      <c r="B78" s="114">
        <v>3</v>
      </c>
      <c r="C78" s="58" t="s">
        <v>1821</v>
      </c>
      <c r="D78" s="58" t="s">
        <v>129</v>
      </c>
    </row>
    <row r="79" spans="1:4" s="115" customFormat="1">
      <c r="A79" s="114">
        <v>1</v>
      </c>
      <c r="B79" s="114">
        <v>3</v>
      </c>
      <c r="C79" s="58" t="s">
        <v>2235</v>
      </c>
      <c r="D79" s="58" t="s">
        <v>2737</v>
      </c>
    </row>
    <row r="80" spans="1:4" s="115" customFormat="1">
      <c r="A80" s="114">
        <v>1</v>
      </c>
      <c r="B80" s="114">
        <v>3</v>
      </c>
      <c r="C80" s="58" t="s">
        <v>1822</v>
      </c>
      <c r="D80" s="58" t="s">
        <v>130</v>
      </c>
    </row>
    <row r="81" spans="1:4" s="115" customFormat="1">
      <c r="A81" s="114">
        <v>1</v>
      </c>
      <c r="B81" s="114">
        <v>3</v>
      </c>
      <c r="C81" s="58" t="s">
        <v>1823</v>
      </c>
      <c r="D81" s="58" t="s">
        <v>131</v>
      </c>
    </row>
    <row r="82" spans="1:4" s="115" customFormat="1">
      <c r="A82" s="114">
        <v>1</v>
      </c>
      <c r="B82" s="114">
        <v>3</v>
      </c>
      <c r="C82" s="58" t="s">
        <v>1824</v>
      </c>
      <c r="D82" s="58" t="s">
        <v>132</v>
      </c>
    </row>
    <row r="83" spans="1:4" s="115" customFormat="1">
      <c r="A83" s="114">
        <v>1</v>
      </c>
      <c r="B83" s="114">
        <v>3</v>
      </c>
      <c r="C83" s="58" t="s">
        <v>1825</v>
      </c>
      <c r="D83" s="58" t="s">
        <v>133</v>
      </c>
    </row>
    <row r="84" spans="1:4" s="115" customFormat="1">
      <c r="A84" s="114">
        <v>1</v>
      </c>
      <c r="B84" s="114">
        <v>3</v>
      </c>
      <c r="C84" s="58" t="s">
        <v>1826</v>
      </c>
      <c r="D84" s="58" t="s">
        <v>134</v>
      </c>
    </row>
    <row r="85" spans="1:4" s="115" customFormat="1">
      <c r="A85" s="114">
        <v>1</v>
      </c>
      <c r="B85" s="114">
        <v>3</v>
      </c>
      <c r="C85" s="58" t="s">
        <v>1827</v>
      </c>
      <c r="D85" s="58" t="s">
        <v>135</v>
      </c>
    </row>
    <row r="86" spans="1:4" s="115" customFormat="1" ht="29">
      <c r="A86" s="114">
        <v>1</v>
      </c>
      <c r="B86" s="114">
        <v>2</v>
      </c>
      <c r="C86" s="58" t="s">
        <v>136</v>
      </c>
      <c r="D86" s="58" t="s">
        <v>137</v>
      </c>
    </row>
    <row r="87" spans="1:4" s="115" customFormat="1" ht="29">
      <c r="A87" s="114">
        <v>1</v>
      </c>
      <c r="B87" s="114">
        <v>3</v>
      </c>
      <c r="C87" s="58" t="s">
        <v>138</v>
      </c>
      <c r="D87" s="58" t="s">
        <v>2236</v>
      </c>
    </row>
    <row r="88" spans="1:4" s="115" customFormat="1">
      <c r="A88" s="114">
        <v>1</v>
      </c>
      <c r="B88" s="114">
        <v>3</v>
      </c>
      <c r="C88" s="58" t="s">
        <v>139</v>
      </c>
      <c r="D88" s="58" t="s">
        <v>140</v>
      </c>
    </row>
    <row r="89" spans="1:4" s="115" customFormat="1">
      <c r="A89" s="114">
        <v>1</v>
      </c>
      <c r="B89" s="114">
        <v>3</v>
      </c>
      <c r="C89" s="58" t="s">
        <v>141</v>
      </c>
      <c r="D89" s="58" t="s">
        <v>142</v>
      </c>
    </row>
    <row r="90" spans="1:4" s="115" customFormat="1" ht="19" customHeight="1">
      <c r="A90" s="114">
        <v>1</v>
      </c>
      <c r="B90" s="114">
        <v>3</v>
      </c>
      <c r="C90" s="58" t="s">
        <v>143</v>
      </c>
      <c r="D90" s="58" t="s">
        <v>2237</v>
      </c>
    </row>
    <row r="91" spans="1:4" s="115" customFormat="1" ht="29">
      <c r="A91" s="114">
        <v>1</v>
      </c>
      <c r="B91" s="114">
        <v>3</v>
      </c>
      <c r="C91" s="58" t="s">
        <v>144</v>
      </c>
      <c r="D91" s="58" t="s">
        <v>145</v>
      </c>
    </row>
    <row r="92" spans="1:4" s="115" customFormat="1" ht="29">
      <c r="A92" s="114">
        <v>1</v>
      </c>
      <c r="B92" s="114">
        <v>1</v>
      </c>
      <c r="C92" s="58" t="s">
        <v>146</v>
      </c>
      <c r="D92" s="58" t="s">
        <v>3077</v>
      </c>
    </row>
    <row r="93" spans="1:4" s="115" customFormat="1">
      <c r="A93" s="114">
        <v>1</v>
      </c>
      <c r="B93" s="114">
        <v>2</v>
      </c>
      <c r="C93" s="58" t="s">
        <v>147</v>
      </c>
      <c r="D93" s="58" t="s">
        <v>2238</v>
      </c>
    </row>
    <row r="94" spans="1:4" s="115" customFormat="1">
      <c r="A94" s="114">
        <v>1</v>
      </c>
      <c r="B94" s="114">
        <v>2</v>
      </c>
      <c r="C94" s="58" t="s">
        <v>148</v>
      </c>
      <c r="D94" s="58" t="s">
        <v>149</v>
      </c>
    </row>
    <row r="95" spans="1:4" s="115" customFormat="1" ht="23.5" customHeight="1">
      <c r="A95" s="114">
        <v>1</v>
      </c>
      <c r="B95" s="114">
        <v>3</v>
      </c>
      <c r="C95" s="58" t="s">
        <v>3078</v>
      </c>
      <c r="D95" s="58" t="s">
        <v>2239</v>
      </c>
    </row>
    <row r="96" spans="1:4" s="115" customFormat="1" ht="23.5" customHeight="1">
      <c r="A96" s="114">
        <v>1</v>
      </c>
      <c r="B96" s="114">
        <v>3</v>
      </c>
      <c r="C96" s="58" t="s">
        <v>3079</v>
      </c>
      <c r="D96" s="58" t="s">
        <v>150</v>
      </c>
    </row>
    <row r="97" spans="1:4" s="115" customFormat="1" ht="29">
      <c r="A97" s="114">
        <v>1</v>
      </c>
      <c r="B97" s="114">
        <v>3</v>
      </c>
      <c r="C97" s="58" t="s">
        <v>3209</v>
      </c>
      <c r="D97" s="58" t="s">
        <v>151</v>
      </c>
    </row>
    <row r="98" spans="1:4" s="115" customFormat="1" ht="29">
      <c r="A98" s="114">
        <v>1</v>
      </c>
      <c r="B98" s="114">
        <v>3</v>
      </c>
      <c r="C98" s="58" t="s">
        <v>3210</v>
      </c>
      <c r="D98" s="58" t="s">
        <v>2987</v>
      </c>
    </row>
    <row r="99" spans="1:4" s="115" customFormat="1" ht="21.5" customHeight="1">
      <c r="A99" s="114">
        <v>1</v>
      </c>
      <c r="B99" s="114">
        <v>3</v>
      </c>
      <c r="C99" s="58" t="s">
        <v>3080</v>
      </c>
      <c r="D99" s="58" t="s">
        <v>152</v>
      </c>
    </row>
    <row r="100" spans="1:4" s="115" customFormat="1" ht="29">
      <c r="A100" s="114">
        <v>1</v>
      </c>
      <c r="B100" s="114">
        <v>2</v>
      </c>
      <c r="C100" s="58" t="s">
        <v>153</v>
      </c>
      <c r="D100" s="58" t="s">
        <v>154</v>
      </c>
    </row>
    <row r="101" spans="1:4" s="115" customFormat="1" ht="29">
      <c r="A101" s="114">
        <v>1</v>
      </c>
      <c r="B101" s="114">
        <v>3</v>
      </c>
      <c r="C101" s="58" t="s">
        <v>155</v>
      </c>
      <c r="D101" s="58" t="s">
        <v>2240</v>
      </c>
    </row>
    <row r="102" spans="1:4" s="115" customFormat="1">
      <c r="A102" s="114">
        <v>1</v>
      </c>
      <c r="B102" s="114">
        <v>3</v>
      </c>
      <c r="C102" s="58" t="s">
        <v>156</v>
      </c>
      <c r="D102" s="58" t="s">
        <v>157</v>
      </c>
    </row>
    <row r="103" spans="1:4" s="115" customFormat="1">
      <c r="A103" s="114">
        <v>1</v>
      </c>
      <c r="B103" s="114">
        <v>3</v>
      </c>
      <c r="C103" s="58" t="s">
        <v>158</v>
      </c>
      <c r="D103" s="58" t="s">
        <v>159</v>
      </c>
    </row>
    <row r="104" spans="1:4" s="115" customFormat="1" ht="29">
      <c r="A104" s="114">
        <v>1</v>
      </c>
      <c r="B104" s="114">
        <v>3</v>
      </c>
      <c r="C104" s="58" t="s">
        <v>160</v>
      </c>
      <c r="D104" s="58" t="s">
        <v>161</v>
      </c>
    </row>
    <row r="105" spans="1:4" s="115" customFormat="1" ht="29">
      <c r="A105" s="114">
        <v>1</v>
      </c>
      <c r="B105" s="114">
        <v>3</v>
      </c>
      <c r="C105" s="58" t="s">
        <v>162</v>
      </c>
      <c r="D105" s="58" t="s">
        <v>163</v>
      </c>
    </row>
    <row r="106" spans="1:4" s="119" customFormat="1" ht="29">
      <c r="A106" s="114">
        <v>1</v>
      </c>
      <c r="B106" s="114">
        <v>1</v>
      </c>
      <c r="C106" s="58" t="s">
        <v>177</v>
      </c>
      <c r="D106" s="58" t="s">
        <v>2256</v>
      </c>
    </row>
    <row r="107" spans="1:4" s="119" customFormat="1">
      <c r="A107" s="114">
        <v>1</v>
      </c>
      <c r="B107" s="114">
        <v>2</v>
      </c>
      <c r="C107" s="58" t="s">
        <v>178</v>
      </c>
      <c r="D107" s="58" t="s">
        <v>2257</v>
      </c>
    </row>
    <row r="108" spans="1:4" s="119" customFormat="1" ht="24.5" customHeight="1">
      <c r="A108" s="114">
        <v>1</v>
      </c>
      <c r="B108" s="114">
        <v>2</v>
      </c>
      <c r="C108" s="58" t="s">
        <v>179</v>
      </c>
      <c r="D108" s="58" t="s">
        <v>180</v>
      </c>
    </row>
    <row r="109" spans="1:4" s="119" customFormat="1">
      <c r="A109" s="114">
        <v>1</v>
      </c>
      <c r="B109" s="114">
        <v>3</v>
      </c>
      <c r="C109" s="58" t="s">
        <v>181</v>
      </c>
      <c r="D109" s="58" t="s">
        <v>182</v>
      </c>
    </row>
    <row r="110" spans="1:4" s="119" customFormat="1">
      <c r="A110" s="114">
        <v>1</v>
      </c>
      <c r="B110" s="114">
        <v>3</v>
      </c>
      <c r="C110" s="58" t="s">
        <v>183</v>
      </c>
      <c r="D110" s="58" t="s">
        <v>184</v>
      </c>
    </row>
    <row r="111" spans="1:4" s="119" customFormat="1">
      <c r="A111" s="114">
        <v>1</v>
      </c>
      <c r="B111" s="114">
        <v>3</v>
      </c>
      <c r="C111" s="58" t="s">
        <v>185</v>
      </c>
      <c r="D111" s="58" t="s">
        <v>186</v>
      </c>
    </row>
    <row r="112" spans="1:4" s="119" customFormat="1" ht="19" customHeight="1">
      <c r="A112" s="114">
        <v>1</v>
      </c>
      <c r="B112" s="114">
        <v>2</v>
      </c>
      <c r="C112" s="58" t="s">
        <v>187</v>
      </c>
      <c r="D112" s="58" t="s">
        <v>188</v>
      </c>
    </row>
    <row r="113" spans="1:4" s="119" customFormat="1" ht="35.5" customHeight="1">
      <c r="A113" s="114">
        <v>1</v>
      </c>
      <c r="B113" s="114">
        <v>2</v>
      </c>
      <c r="C113" s="58" t="s">
        <v>189</v>
      </c>
      <c r="D113" s="58" t="s">
        <v>190</v>
      </c>
    </row>
    <row r="114" spans="1:4" s="119" customFormat="1">
      <c r="A114" s="116">
        <v>1</v>
      </c>
      <c r="B114" s="116">
        <v>2</v>
      </c>
      <c r="C114" s="117" t="s">
        <v>2945</v>
      </c>
      <c r="D114" s="117" t="s">
        <v>2979</v>
      </c>
    </row>
    <row r="115" spans="1:4" s="119" customFormat="1" ht="29">
      <c r="A115" s="114">
        <v>1</v>
      </c>
      <c r="B115" s="114">
        <v>2</v>
      </c>
      <c r="C115" s="58" t="s">
        <v>2258</v>
      </c>
      <c r="D115" s="58" t="s">
        <v>2259</v>
      </c>
    </row>
    <row r="116" spans="1:4" s="119" customFormat="1" ht="29">
      <c r="A116" s="114">
        <v>1</v>
      </c>
      <c r="B116" s="114">
        <v>2</v>
      </c>
      <c r="C116" s="58" t="s">
        <v>191</v>
      </c>
      <c r="D116" s="58" t="s">
        <v>2260</v>
      </c>
    </row>
    <row r="117" spans="1:4" s="119" customFormat="1">
      <c r="A117" s="114">
        <v>1</v>
      </c>
      <c r="B117" s="114">
        <v>3</v>
      </c>
      <c r="C117" s="58" t="s">
        <v>1834</v>
      </c>
      <c r="D117" s="58" t="s">
        <v>2261</v>
      </c>
    </row>
    <row r="118" spans="1:4" s="119" customFormat="1">
      <c r="A118" s="114">
        <v>1</v>
      </c>
      <c r="B118" s="114">
        <v>3</v>
      </c>
      <c r="C118" s="58" t="s">
        <v>1835</v>
      </c>
      <c r="D118" s="58" t="s">
        <v>2262</v>
      </c>
    </row>
    <row r="119" spans="1:4" s="119" customFormat="1">
      <c r="A119" s="114">
        <v>1</v>
      </c>
      <c r="B119" s="114">
        <v>3</v>
      </c>
      <c r="C119" s="58" t="s">
        <v>2263</v>
      </c>
      <c r="D119" s="58" t="s">
        <v>2264</v>
      </c>
    </row>
    <row r="120" spans="1:4" s="119" customFormat="1" ht="29">
      <c r="A120" s="114">
        <v>1</v>
      </c>
      <c r="B120" s="114">
        <v>2</v>
      </c>
      <c r="C120" s="58" t="s">
        <v>192</v>
      </c>
      <c r="D120" s="58" t="s">
        <v>193</v>
      </c>
    </row>
    <row r="121" spans="1:4" s="119" customFormat="1" ht="35" customHeight="1">
      <c r="A121" s="114">
        <v>1</v>
      </c>
      <c r="B121" s="114">
        <v>3</v>
      </c>
      <c r="C121" s="58" t="s">
        <v>2265</v>
      </c>
      <c r="D121" s="58" t="s">
        <v>2266</v>
      </c>
    </row>
    <row r="122" spans="1:4" s="119" customFormat="1">
      <c r="A122" s="114">
        <v>1</v>
      </c>
      <c r="B122" s="114">
        <v>3</v>
      </c>
      <c r="C122" s="58" t="s">
        <v>194</v>
      </c>
      <c r="D122" s="58" t="s">
        <v>1262</v>
      </c>
    </row>
    <row r="123" spans="1:4" s="119" customFormat="1">
      <c r="A123" s="114">
        <v>1</v>
      </c>
      <c r="B123" s="114">
        <v>3</v>
      </c>
      <c r="C123" s="58" t="s">
        <v>195</v>
      </c>
      <c r="D123" s="58" t="s">
        <v>1263</v>
      </c>
    </row>
    <row r="124" spans="1:4" s="119" customFormat="1" ht="29">
      <c r="A124" s="114">
        <v>1</v>
      </c>
      <c r="B124" s="114">
        <v>3</v>
      </c>
      <c r="C124" s="58" t="s">
        <v>196</v>
      </c>
      <c r="D124" s="58" t="s">
        <v>3081</v>
      </c>
    </row>
    <row r="125" spans="1:4" s="119" customFormat="1" ht="29">
      <c r="A125" s="114">
        <v>1</v>
      </c>
      <c r="B125" s="114">
        <v>3</v>
      </c>
      <c r="C125" s="58" t="s">
        <v>2986</v>
      </c>
      <c r="D125" s="58" t="s">
        <v>197</v>
      </c>
    </row>
    <row r="126" spans="1:4" s="119" customFormat="1" ht="48" customHeight="1">
      <c r="A126" s="114">
        <v>1</v>
      </c>
      <c r="B126" s="114">
        <v>1</v>
      </c>
      <c r="C126" s="58" t="s">
        <v>198</v>
      </c>
      <c r="D126" s="58" t="s">
        <v>2267</v>
      </c>
    </row>
    <row r="127" spans="1:4" s="119" customFormat="1">
      <c r="A127" s="114">
        <v>1</v>
      </c>
      <c r="B127" s="114">
        <v>2</v>
      </c>
      <c r="C127" s="58" t="s">
        <v>199</v>
      </c>
      <c r="D127" s="58" t="s">
        <v>200</v>
      </c>
    </row>
    <row r="128" spans="1:4" s="119" customFormat="1">
      <c r="A128" s="114">
        <v>1</v>
      </c>
      <c r="B128" s="114">
        <v>2</v>
      </c>
      <c r="C128" s="58" t="s">
        <v>201</v>
      </c>
      <c r="D128" s="58" t="s">
        <v>202</v>
      </c>
    </row>
    <row r="129" spans="1:4" s="119" customFormat="1">
      <c r="A129" s="114">
        <v>1</v>
      </c>
      <c r="B129" s="114">
        <v>3</v>
      </c>
      <c r="C129" s="58" t="s">
        <v>2268</v>
      </c>
      <c r="D129" s="58" t="s">
        <v>1792</v>
      </c>
    </row>
    <row r="130" spans="1:4" s="119" customFormat="1">
      <c r="A130" s="114">
        <v>1</v>
      </c>
      <c r="B130" s="114">
        <v>3</v>
      </c>
      <c r="C130" s="58" t="s">
        <v>2269</v>
      </c>
      <c r="D130" s="58" t="s">
        <v>2270</v>
      </c>
    </row>
    <row r="131" spans="1:4" s="115" customFormat="1" ht="29">
      <c r="A131" s="114">
        <v>1</v>
      </c>
      <c r="B131" s="114">
        <v>2</v>
      </c>
      <c r="C131" s="58" t="s">
        <v>203</v>
      </c>
      <c r="D131" s="58" t="s">
        <v>2271</v>
      </c>
    </row>
    <row r="132" spans="1:4" s="119" customFormat="1">
      <c r="A132" s="116">
        <v>1</v>
      </c>
      <c r="B132" s="116">
        <v>2</v>
      </c>
      <c r="C132" s="117" t="s">
        <v>2946</v>
      </c>
      <c r="D132" s="117" t="s">
        <v>2947</v>
      </c>
    </row>
    <row r="133" spans="1:4" s="115" customFormat="1" ht="29">
      <c r="A133" s="114">
        <v>1</v>
      </c>
      <c r="B133" s="114">
        <v>2</v>
      </c>
      <c r="C133" s="58" t="s">
        <v>204</v>
      </c>
      <c r="D133" s="58" t="s">
        <v>205</v>
      </c>
    </row>
    <row r="134" spans="1:4" s="115" customFormat="1">
      <c r="A134" s="114">
        <v>1</v>
      </c>
      <c r="B134" s="114">
        <v>3</v>
      </c>
      <c r="C134" s="58" t="s">
        <v>206</v>
      </c>
      <c r="D134" s="58" t="s">
        <v>207</v>
      </c>
    </row>
    <row r="135" spans="1:4" s="115" customFormat="1" ht="20.5" customHeight="1">
      <c r="A135" s="114">
        <v>1</v>
      </c>
      <c r="B135" s="114">
        <v>3</v>
      </c>
      <c r="C135" s="58" t="s">
        <v>208</v>
      </c>
      <c r="D135" s="58" t="s">
        <v>209</v>
      </c>
    </row>
    <row r="136" spans="1:4" s="115" customFormat="1">
      <c r="A136" s="114">
        <v>1</v>
      </c>
      <c r="B136" s="114">
        <v>2</v>
      </c>
      <c r="C136" s="58" t="s">
        <v>210</v>
      </c>
      <c r="D136" s="58" t="s">
        <v>211</v>
      </c>
    </row>
    <row r="137" spans="1:4" s="115" customFormat="1">
      <c r="A137" s="114">
        <v>1</v>
      </c>
      <c r="B137" s="114">
        <v>3</v>
      </c>
      <c r="C137" s="58" t="s">
        <v>1836</v>
      </c>
      <c r="D137" s="58" t="s">
        <v>1264</v>
      </c>
    </row>
    <row r="138" spans="1:4" s="115" customFormat="1">
      <c r="A138" s="114">
        <v>1</v>
      </c>
      <c r="B138" s="114">
        <v>3</v>
      </c>
      <c r="C138" s="58" t="s">
        <v>1837</v>
      </c>
      <c r="D138" s="58" t="s">
        <v>1265</v>
      </c>
    </row>
    <row r="139" spans="1:4" s="115" customFormat="1">
      <c r="A139" s="114">
        <v>1</v>
      </c>
      <c r="B139" s="114">
        <v>3</v>
      </c>
      <c r="C139" s="58" t="s">
        <v>1838</v>
      </c>
      <c r="D139" s="58" t="s">
        <v>2272</v>
      </c>
    </row>
    <row r="140" spans="1:4" s="115" customFormat="1">
      <c r="A140" s="114">
        <v>1</v>
      </c>
      <c r="B140" s="114">
        <v>3</v>
      </c>
      <c r="C140" s="58" t="s">
        <v>3082</v>
      </c>
      <c r="D140" s="58" t="s">
        <v>2273</v>
      </c>
    </row>
    <row r="141" spans="1:4" s="115" customFormat="1">
      <c r="A141" s="114">
        <v>1</v>
      </c>
      <c r="B141" s="114">
        <v>3</v>
      </c>
      <c r="C141" s="58" t="s">
        <v>2274</v>
      </c>
      <c r="D141" s="58" t="s">
        <v>2275</v>
      </c>
    </row>
    <row r="142" spans="1:4" s="115" customFormat="1">
      <c r="A142" s="114">
        <v>1</v>
      </c>
      <c r="B142" s="114">
        <v>3</v>
      </c>
      <c r="C142" s="58" t="s">
        <v>1839</v>
      </c>
      <c r="D142" s="58" t="s">
        <v>1266</v>
      </c>
    </row>
    <row r="143" spans="1:4" s="115" customFormat="1" ht="34.5" customHeight="1">
      <c r="A143" s="114">
        <v>1</v>
      </c>
      <c r="B143" s="114">
        <v>3</v>
      </c>
      <c r="C143" s="58" t="s">
        <v>1840</v>
      </c>
      <c r="D143" s="58" t="s">
        <v>1267</v>
      </c>
    </row>
    <row r="144" spans="1:4" s="115" customFormat="1">
      <c r="A144" s="114">
        <v>1</v>
      </c>
      <c r="B144" s="114">
        <v>3</v>
      </c>
      <c r="C144" s="58" t="s">
        <v>1841</v>
      </c>
      <c r="D144" s="58" t="s">
        <v>1268</v>
      </c>
    </row>
    <row r="145" spans="1:4" s="115" customFormat="1">
      <c r="A145" s="114">
        <v>1</v>
      </c>
      <c r="B145" s="114">
        <v>3</v>
      </c>
      <c r="C145" s="58" t="s">
        <v>1842</v>
      </c>
      <c r="D145" s="58" t="s">
        <v>1269</v>
      </c>
    </row>
    <row r="146" spans="1:4" s="115" customFormat="1">
      <c r="A146" s="114">
        <v>1</v>
      </c>
      <c r="B146" s="114">
        <v>3</v>
      </c>
      <c r="C146" s="58" t="s">
        <v>1843</v>
      </c>
      <c r="D146" s="58" t="s">
        <v>1270</v>
      </c>
    </row>
    <row r="147" spans="1:4" s="115" customFormat="1">
      <c r="A147" s="114">
        <v>1</v>
      </c>
      <c r="B147" s="114">
        <v>3</v>
      </c>
      <c r="C147" s="58" t="s">
        <v>1844</v>
      </c>
      <c r="D147" s="58" t="s">
        <v>1271</v>
      </c>
    </row>
    <row r="148" spans="1:4" s="115" customFormat="1">
      <c r="A148" s="114">
        <v>1</v>
      </c>
      <c r="B148" s="114">
        <v>3</v>
      </c>
      <c r="C148" s="58" t="s">
        <v>1845</v>
      </c>
      <c r="D148" s="58" t="s">
        <v>1272</v>
      </c>
    </row>
    <row r="149" spans="1:4" s="115" customFormat="1">
      <c r="A149" s="114">
        <v>1</v>
      </c>
      <c r="B149" s="114">
        <v>3</v>
      </c>
      <c r="C149" s="58" t="s">
        <v>1846</v>
      </c>
      <c r="D149" s="58" t="s">
        <v>1273</v>
      </c>
    </row>
    <row r="150" spans="1:4" s="115" customFormat="1" ht="19" customHeight="1">
      <c r="A150" s="114">
        <v>1</v>
      </c>
      <c r="B150" s="114">
        <v>3</v>
      </c>
      <c r="C150" s="58" t="s">
        <v>3083</v>
      </c>
      <c r="D150" s="58" t="s">
        <v>1274</v>
      </c>
    </row>
    <row r="151" spans="1:4" s="115" customFormat="1">
      <c r="A151" s="114">
        <v>1</v>
      </c>
      <c r="B151" s="114">
        <v>3</v>
      </c>
      <c r="C151" s="58" t="s">
        <v>3084</v>
      </c>
      <c r="D151" s="58" t="s">
        <v>1275</v>
      </c>
    </row>
    <row r="152" spans="1:4" s="115" customFormat="1">
      <c r="A152" s="114">
        <v>1</v>
      </c>
      <c r="B152" s="114">
        <v>3</v>
      </c>
      <c r="C152" s="58" t="s">
        <v>1847</v>
      </c>
      <c r="D152" s="58" t="s">
        <v>1276</v>
      </c>
    </row>
    <row r="153" spans="1:4" s="115" customFormat="1">
      <c r="A153" s="114">
        <v>1</v>
      </c>
      <c r="B153" s="114">
        <v>3</v>
      </c>
      <c r="C153" s="58" t="s">
        <v>1848</v>
      </c>
      <c r="D153" s="58" t="s">
        <v>212</v>
      </c>
    </row>
    <row r="154" spans="1:4" s="115" customFormat="1">
      <c r="A154" s="114">
        <v>1</v>
      </c>
      <c r="B154" s="114">
        <v>3</v>
      </c>
      <c r="C154" s="58" t="s">
        <v>1849</v>
      </c>
      <c r="D154" s="58" t="s">
        <v>213</v>
      </c>
    </row>
    <row r="155" spans="1:4" s="115" customFormat="1">
      <c r="A155" s="114">
        <v>1</v>
      </c>
      <c r="B155" s="114">
        <v>3</v>
      </c>
      <c r="C155" s="58" t="s">
        <v>1850</v>
      </c>
      <c r="D155" s="58" t="s">
        <v>214</v>
      </c>
    </row>
    <row r="156" spans="1:4" s="115" customFormat="1">
      <c r="A156" s="114">
        <v>1</v>
      </c>
      <c r="B156" s="114">
        <v>3</v>
      </c>
      <c r="C156" s="58" t="s">
        <v>1851</v>
      </c>
      <c r="D156" s="58" t="s">
        <v>215</v>
      </c>
    </row>
    <row r="157" spans="1:4" s="115" customFormat="1">
      <c r="A157" s="114">
        <v>1</v>
      </c>
      <c r="B157" s="114">
        <v>3</v>
      </c>
      <c r="C157" s="58" t="s">
        <v>1852</v>
      </c>
      <c r="D157" s="58" t="s">
        <v>216</v>
      </c>
    </row>
    <row r="158" spans="1:4" s="115" customFormat="1">
      <c r="A158" s="114">
        <v>1</v>
      </c>
      <c r="B158" s="114">
        <v>3</v>
      </c>
      <c r="C158" s="58" t="s">
        <v>3085</v>
      </c>
      <c r="D158" s="58" t="s">
        <v>217</v>
      </c>
    </row>
    <row r="159" spans="1:4" s="115" customFormat="1">
      <c r="A159" s="114">
        <v>1</v>
      </c>
      <c r="B159" s="114">
        <v>3</v>
      </c>
      <c r="C159" s="58" t="s">
        <v>1853</v>
      </c>
      <c r="D159" s="58" t="s">
        <v>218</v>
      </c>
    </row>
    <row r="160" spans="1:4" s="115" customFormat="1">
      <c r="A160" s="114">
        <v>1</v>
      </c>
      <c r="B160" s="114">
        <v>3</v>
      </c>
      <c r="C160" s="58" t="s">
        <v>1854</v>
      </c>
      <c r="D160" s="58" t="s">
        <v>219</v>
      </c>
    </row>
    <row r="161" spans="1:4" s="115" customFormat="1" ht="29">
      <c r="A161" s="114">
        <v>1</v>
      </c>
      <c r="B161" s="114">
        <v>2</v>
      </c>
      <c r="C161" s="58" t="s">
        <v>220</v>
      </c>
      <c r="D161" s="58" t="s">
        <v>221</v>
      </c>
    </row>
    <row r="162" spans="1:4" s="115" customFormat="1" ht="29">
      <c r="A162" s="114">
        <v>1</v>
      </c>
      <c r="B162" s="114">
        <v>3</v>
      </c>
      <c r="C162" s="58" t="s">
        <v>222</v>
      </c>
      <c r="D162" s="58" t="s">
        <v>2276</v>
      </c>
    </row>
    <row r="163" spans="1:4" s="119" customFormat="1">
      <c r="A163" s="114">
        <v>1</v>
      </c>
      <c r="B163" s="114">
        <v>3</v>
      </c>
      <c r="C163" s="58" t="s">
        <v>223</v>
      </c>
      <c r="D163" s="58" t="s">
        <v>224</v>
      </c>
    </row>
    <row r="164" spans="1:4" s="119" customFormat="1">
      <c r="A164" s="114">
        <v>1</v>
      </c>
      <c r="B164" s="114">
        <v>3</v>
      </c>
      <c r="C164" s="58" t="s">
        <v>225</v>
      </c>
      <c r="D164" s="58" t="s">
        <v>226</v>
      </c>
    </row>
    <row r="165" spans="1:4" s="119" customFormat="1" ht="22" customHeight="1">
      <c r="A165" s="114">
        <v>1</v>
      </c>
      <c r="B165" s="114">
        <v>3</v>
      </c>
      <c r="C165" s="58" t="s">
        <v>227</v>
      </c>
      <c r="D165" s="58" t="s">
        <v>2277</v>
      </c>
    </row>
    <row r="166" spans="1:4" s="119" customFormat="1" ht="29">
      <c r="A166" s="114">
        <v>1</v>
      </c>
      <c r="B166" s="114">
        <v>3</v>
      </c>
      <c r="C166" s="58" t="s">
        <v>228</v>
      </c>
      <c r="D166" s="58" t="s">
        <v>163</v>
      </c>
    </row>
    <row r="167" spans="1:4" s="119" customFormat="1" ht="43.5">
      <c r="A167" s="114">
        <v>1</v>
      </c>
      <c r="B167" s="114">
        <v>1</v>
      </c>
      <c r="C167" s="58" t="s">
        <v>229</v>
      </c>
      <c r="D167" s="58" t="s">
        <v>2278</v>
      </c>
    </row>
    <row r="168" spans="1:4" s="119" customFormat="1">
      <c r="A168" s="114">
        <v>1</v>
      </c>
      <c r="B168" s="114">
        <v>2</v>
      </c>
      <c r="C168" s="58" t="s">
        <v>230</v>
      </c>
      <c r="D168" s="58" t="s">
        <v>231</v>
      </c>
    </row>
    <row r="169" spans="1:4" s="119" customFormat="1" ht="48" customHeight="1">
      <c r="A169" s="114">
        <v>1</v>
      </c>
      <c r="B169" s="114">
        <v>2</v>
      </c>
      <c r="C169" s="58" t="s">
        <v>232</v>
      </c>
      <c r="D169" s="58" t="s">
        <v>1855</v>
      </c>
    </row>
    <row r="170" spans="1:4" s="119" customFormat="1" ht="29">
      <c r="A170" s="114">
        <v>1</v>
      </c>
      <c r="B170" s="114">
        <v>2</v>
      </c>
      <c r="C170" s="58" t="s">
        <v>233</v>
      </c>
      <c r="D170" s="58" t="s">
        <v>1277</v>
      </c>
    </row>
    <row r="171" spans="1:4" s="119" customFormat="1" ht="29">
      <c r="A171" s="114">
        <v>1</v>
      </c>
      <c r="B171" s="114">
        <v>2</v>
      </c>
      <c r="C171" s="58" t="s">
        <v>234</v>
      </c>
      <c r="D171" s="58" t="s">
        <v>235</v>
      </c>
    </row>
    <row r="172" spans="1:4" s="119" customFormat="1">
      <c r="A172" s="114">
        <v>1</v>
      </c>
      <c r="B172" s="114">
        <v>3</v>
      </c>
      <c r="C172" s="58" t="s">
        <v>236</v>
      </c>
      <c r="D172" s="58" t="s">
        <v>237</v>
      </c>
    </row>
    <row r="173" spans="1:4" s="119" customFormat="1">
      <c r="A173" s="114">
        <v>1</v>
      </c>
      <c r="B173" s="114">
        <v>3</v>
      </c>
      <c r="C173" s="58" t="s">
        <v>238</v>
      </c>
      <c r="D173" s="58" t="s">
        <v>239</v>
      </c>
    </row>
    <row r="174" spans="1:4" s="119" customFormat="1">
      <c r="A174" s="114">
        <v>1</v>
      </c>
      <c r="B174" s="114">
        <v>2</v>
      </c>
      <c r="C174" s="58" t="s">
        <v>240</v>
      </c>
      <c r="D174" s="58" t="s">
        <v>241</v>
      </c>
    </row>
    <row r="175" spans="1:4" s="119" customFormat="1">
      <c r="A175" s="114">
        <v>1</v>
      </c>
      <c r="B175" s="114">
        <v>3</v>
      </c>
      <c r="C175" s="58" t="s">
        <v>242</v>
      </c>
      <c r="D175" s="58" t="s">
        <v>2279</v>
      </c>
    </row>
    <row r="176" spans="1:4" s="119" customFormat="1">
      <c r="A176" s="114">
        <v>1</v>
      </c>
      <c r="B176" s="114">
        <v>3</v>
      </c>
      <c r="C176" s="58" t="s">
        <v>243</v>
      </c>
      <c r="D176" s="58" t="s">
        <v>2280</v>
      </c>
    </row>
    <row r="177" spans="1:4" s="119" customFormat="1" ht="29">
      <c r="A177" s="114">
        <v>1</v>
      </c>
      <c r="B177" s="114">
        <v>3</v>
      </c>
      <c r="C177" s="58" t="s">
        <v>244</v>
      </c>
      <c r="D177" s="58" t="s">
        <v>626</v>
      </c>
    </row>
    <row r="178" spans="1:4" s="119" customFormat="1">
      <c r="A178" s="114">
        <v>1</v>
      </c>
      <c r="B178" s="114">
        <v>2</v>
      </c>
      <c r="C178" s="58" t="s">
        <v>245</v>
      </c>
      <c r="D178" s="11" t="s">
        <v>3257</v>
      </c>
    </row>
    <row r="179" spans="1:4" s="119" customFormat="1">
      <c r="A179" s="114">
        <v>1</v>
      </c>
      <c r="B179" s="114">
        <v>3</v>
      </c>
      <c r="C179" s="58" t="s">
        <v>1856</v>
      </c>
      <c r="D179" s="131" t="s">
        <v>3258</v>
      </c>
    </row>
    <row r="180" spans="1:4" s="119" customFormat="1">
      <c r="A180" s="114">
        <v>1</v>
      </c>
      <c r="B180" s="114">
        <v>3</v>
      </c>
      <c r="C180" s="58" t="s">
        <v>1857</v>
      </c>
      <c r="D180" s="11" t="s">
        <v>3259</v>
      </c>
    </row>
    <row r="181" spans="1:4" s="119" customFormat="1">
      <c r="A181" s="114">
        <v>1</v>
      </c>
      <c r="B181" s="114">
        <v>3</v>
      </c>
      <c r="C181" s="58" t="s">
        <v>1858</v>
      </c>
      <c r="D181" s="131" t="s">
        <v>3260</v>
      </c>
    </row>
    <row r="182" spans="1:4" s="119" customFormat="1">
      <c r="A182" s="114">
        <v>1</v>
      </c>
      <c r="B182" s="114">
        <v>3</v>
      </c>
      <c r="C182" s="58" t="s">
        <v>1859</v>
      </c>
      <c r="D182" s="131" t="s">
        <v>3261</v>
      </c>
    </row>
    <row r="183" spans="1:4" s="119" customFormat="1">
      <c r="A183" s="114">
        <v>1</v>
      </c>
      <c r="B183" s="114">
        <v>3</v>
      </c>
      <c r="C183" s="58" t="s">
        <v>3086</v>
      </c>
      <c r="D183" s="131" t="s">
        <v>3262</v>
      </c>
    </row>
    <row r="184" spans="1:4" s="119" customFormat="1">
      <c r="A184" s="114">
        <v>1</v>
      </c>
      <c r="B184" s="114">
        <v>3</v>
      </c>
      <c r="C184" s="58" t="s">
        <v>1860</v>
      </c>
      <c r="D184" s="11" t="s">
        <v>3263</v>
      </c>
    </row>
    <row r="185" spans="1:4" s="119" customFormat="1">
      <c r="A185" s="114">
        <v>1</v>
      </c>
      <c r="B185" s="114">
        <v>3</v>
      </c>
      <c r="C185" s="58" t="s">
        <v>1861</v>
      </c>
      <c r="D185" s="11" t="s">
        <v>3264</v>
      </c>
    </row>
    <row r="186" spans="1:4" s="119" customFormat="1">
      <c r="A186" s="114">
        <v>1</v>
      </c>
      <c r="B186" s="114">
        <v>3</v>
      </c>
      <c r="C186" s="58" t="s">
        <v>2281</v>
      </c>
      <c r="D186" s="11" t="s">
        <v>3265</v>
      </c>
    </row>
    <row r="187" spans="1:4" s="119" customFormat="1">
      <c r="A187" s="114">
        <v>1</v>
      </c>
      <c r="B187" s="114">
        <v>3</v>
      </c>
      <c r="C187" s="58" t="s">
        <v>1862</v>
      </c>
      <c r="D187" s="11" t="s">
        <v>3266</v>
      </c>
    </row>
    <row r="188" spans="1:4" s="119" customFormat="1">
      <c r="A188" s="114">
        <v>1</v>
      </c>
      <c r="B188" s="114">
        <v>3</v>
      </c>
      <c r="C188" s="58" t="s">
        <v>1863</v>
      </c>
      <c r="D188" s="11" t="s">
        <v>3267</v>
      </c>
    </row>
    <row r="189" spans="1:4" s="119" customFormat="1">
      <c r="A189" s="114">
        <v>1</v>
      </c>
      <c r="B189" s="114">
        <v>3</v>
      </c>
      <c r="C189" s="58" t="s">
        <v>1864</v>
      </c>
      <c r="D189" s="131" t="s">
        <v>3268</v>
      </c>
    </row>
    <row r="190" spans="1:4" s="119" customFormat="1">
      <c r="A190" s="114">
        <v>1</v>
      </c>
      <c r="B190" s="114">
        <v>3</v>
      </c>
      <c r="C190" s="58" t="s">
        <v>1865</v>
      </c>
      <c r="D190" s="11" t="s">
        <v>3269</v>
      </c>
    </row>
    <row r="191" spans="1:4" s="119" customFormat="1">
      <c r="A191" s="114">
        <v>1</v>
      </c>
      <c r="B191" s="114">
        <v>3</v>
      </c>
      <c r="C191" s="58" t="s">
        <v>2703</v>
      </c>
      <c r="D191" s="11" t="s">
        <v>3264</v>
      </c>
    </row>
    <row r="192" spans="1:4" s="119" customFormat="1">
      <c r="A192" s="114">
        <v>1</v>
      </c>
      <c r="B192" s="114">
        <v>3</v>
      </c>
      <c r="C192" s="58" t="s">
        <v>2282</v>
      </c>
      <c r="D192" s="11" t="s">
        <v>2283</v>
      </c>
    </row>
    <row r="193" spans="1:4" s="119" customFormat="1">
      <c r="A193" s="114">
        <v>1</v>
      </c>
      <c r="B193" s="114">
        <v>3</v>
      </c>
      <c r="C193" s="58" t="s">
        <v>2284</v>
      </c>
      <c r="D193" s="11" t="s">
        <v>2285</v>
      </c>
    </row>
    <row r="194" spans="1:4" s="119" customFormat="1">
      <c r="A194" s="114">
        <v>1</v>
      </c>
      <c r="B194" s="114">
        <v>3</v>
      </c>
      <c r="C194" s="58" t="s">
        <v>2704</v>
      </c>
      <c r="D194" s="11" t="s">
        <v>2705</v>
      </c>
    </row>
    <row r="195" spans="1:4" s="119" customFormat="1" ht="29">
      <c r="A195" s="114">
        <v>1</v>
      </c>
      <c r="B195" s="114">
        <v>2</v>
      </c>
      <c r="C195" s="58" t="s">
        <v>246</v>
      </c>
      <c r="D195" s="58" t="s">
        <v>247</v>
      </c>
    </row>
    <row r="196" spans="1:4" s="119" customFormat="1" ht="29">
      <c r="A196" s="114">
        <v>1</v>
      </c>
      <c r="B196" s="114">
        <v>3</v>
      </c>
      <c r="C196" s="58" t="s">
        <v>248</v>
      </c>
      <c r="D196" s="58" t="s">
        <v>2286</v>
      </c>
    </row>
    <row r="197" spans="1:4" s="119" customFormat="1">
      <c r="A197" s="114">
        <v>1</v>
      </c>
      <c r="B197" s="114">
        <v>3</v>
      </c>
      <c r="C197" s="58" t="s">
        <v>249</v>
      </c>
      <c r="D197" s="58" t="s">
        <v>250</v>
      </c>
    </row>
    <row r="198" spans="1:4" s="119" customFormat="1">
      <c r="A198" s="114">
        <v>1</v>
      </c>
      <c r="B198" s="114">
        <v>3</v>
      </c>
      <c r="C198" s="58" t="s">
        <v>251</v>
      </c>
      <c r="D198" s="58" t="s">
        <v>252</v>
      </c>
    </row>
    <row r="199" spans="1:4" s="119" customFormat="1" ht="21" customHeight="1">
      <c r="A199" s="114">
        <v>1</v>
      </c>
      <c r="B199" s="114">
        <v>3</v>
      </c>
      <c r="C199" s="58" t="s">
        <v>253</v>
      </c>
      <c r="D199" s="58" t="s">
        <v>3087</v>
      </c>
    </row>
    <row r="200" spans="1:4" s="119" customFormat="1" ht="29">
      <c r="A200" s="114">
        <v>1</v>
      </c>
      <c r="B200" s="114">
        <v>3</v>
      </c>
      <c r="C200" s="58" t="s">
        <v>254</v>
      </c>
      <c r="D200" s="58" t="s">
        <v>255</v>
      </c>
    </row>
    <row r="201" spans="1:4" s="119" customFormat="1" ht="29">
      <c r="A201" s="114">
        <v>1</v>
      </c>
      <c r="B201" s="114">
        <v>1</v>
      </c>
      <c r="C201" s="58" t="s">
        <v>256</v>
      </c>
      <c r="D201" s="58" t="s">
        <v>2287</v>
      </c>
    </row>
    <row r="202" spans="1:4" s="119" customFormat="1">
      <c r="A202" s="114">
        <v>1</v>
      </c>
      <c r="B202" s="114">
        <v>2</v>
      </c>
      <c r="C202" s="58" t="s">
        <v>257</v>
      </c>
      <c r="D202" s="58" t="s">
        <v>258</v>
      </c>
    </row>
    <row r="203" spans="1:4" s="119" customFormat="1" ht="29">
      <c r="A203" s="114">
        <v>1</v>
      </c>
      <c r="B203" s="114">
        <v>2</v>
      </c>
      <c r="C203" s="58" t="s">
        <v>259</v>
      </c>
      <c r="D203" s="58" t="s">
        <v>2988</v>
      </c>
    </row>
    <row r="204" spans="1:4" s="119" customFormat="1" ht="29">
      <c r="A204" s="114">
        <v>1</v>
      </c>
      <c r="B204" s="114">
        <v>2</v>
      </c>
      <c r="C204" s="58" t="s">
        <v>2288</v>
      </c>
      <c r="D204" s="58" t="s">
        <v>2990</v>
      </c>
    </row>
    <row r="205" spans="1:4" s="119" customFormat="1" ht="29">
      <c r="A205" s="114">
        <v>1</v>
      </c>
      <c r="B205" s="114">
        <v>2</v>
      </c>
      <c r="C205" s="58" t="s">
        <v>260</v>
      </c>
      <c r="D205" s="58" t="s">
        <v>261</v>
      </c>
    </row>
    <row r="206" spans="1:4" s="119" customFormat="1">
      <c r="A206" s="114">
        <v>1</v>
      </c>
      <c r="B206" s="114">
        <v>3</v>
      </c>
      <c r="C206" s="58" t="s">
        <v>262</v>
      </c>
      <c r="D206" s="58" t="s">
        <v>263</v>
      </c>
    </row>
    <row r="207" spans="1:4" s="119" customFormat="1" ht="23" customHeight="1">
      <c r="A207" s="114">
        <v>1</v>
      </c>
      <c r="B207" s="114">
        <v>3</v>
      </c>
      <c r="C207" s="58" t="s">
        <v>264</v>
      </c>
      <c r="D207" s="58" t="s">
        <v>265</v>
      </c>
    </row>
    <row r="208" spans="1:4" s="119" customFormat="1">
      <c r="A208" s="114">
        <v>1</v>
      </c>
      <c r="B208" s="114">
        <v>2</v>
      </c>
      <c r="C208" s="58" t="s">
        <v>266</v>
      </c>
      <c r="D208" s="58" t="s">
        <v>267</v>
      </c>
    </row>
    <row r="209" spans="1:4" s="119" customFormat="1">
      <c r="A209" s="114">
        <v>1</v>
      </c>
      <c r="B209" s="114">
        <v>3</v>
      </c>
      <c r="C209" s="58" t="s">
        <v>268</v>
      </c>
      <c r="D209" s="58" t="s">
        <v>2289</v>
      </c>
    </row>
    <row r="210" spans="1:4" s="119" customFormat="1">
      <c r="A210" s="114">
        <v>1</v>
      </c>
      <c r="B210" s="114">
        <v>3</v>
      </c>
      <c r="C210" s="58" t="s">
        <v>269</v>
      </c>
      <c r="D210" s="58" t="s">
        <v>2290</v>
      </c>
    </row>
    <row r="211" spans="1:4" s="119" customFormat="1" ht="29">
      <c r="A211" s="114">
        <v>1</v>
      </c>
      <c r="B211" s="114">
        <v>3</v>
      </c>
      <c r="C211" s="58" t="s">
        <v>270</v>
      </c>
      <c r="D211" s="58" t="s">
        <v>626</v>
      </c>
    </row>
    <row r="212" spans="1:4" s="119" customFormat="1">
      <c r="A212" s="114">
        <v>1</v>
      </c>
      <c r="B212" s="114">
        <v>2</v>
      </c>
      <c r="C212" s="58" t="s">
        <v>2291</v>
      </c>
      <c r="D212" s="58" t="s">
        <v>2292</v>
      </c>
    </row>
    <row r="213" spans="1:4" s="119" customFormat="1">
      <c r="A213" s="114">
        <v>1</v>
      </c>
      <c r="B213" s="114">
        <v>3</v>
      </c>
      <c r="C213" s="58" t="s">
        <v>2293</v>
      </c>
      <c r="D213" s="58" t="s">
        <v>2294</v>
      </c>
    </row>
    <row r="214" spans="1:4" s="119" customFormat="1">
      <c r="A214" s="114">
        <v>1</v>
      </c>
      <c r="B214" s="114">
        <v>3</v>
      </c>
      <c r="C214" s="58" t="s">
        <v>2296</v>
      </c>
      <c r="D214" s="58" t="s">
        <v>2297</v>
      </c>
    </row>
    <row r="215" spans="1:4" s="119" customFormat="1" ht="29">
      <c r="A215" s="114">
        <v>1</v>
      </c>
      <c r="B215" s="114">
        <v>2</v>
      </c>
      <c r="C215" s="58" t="s">
        <v>2295</v>
      </c>
      <c r="D215" s="58" t="s">
        <v>2298</v>
      </c>
    </row>
    <row r="216" spans="1:4" s="119" customFormat="1">
      <c r="A216" s="114">
        <v>1</v>
      </c>
      <c r="B216" s="114">
        <v>2</v>
      </c>
      <c r="C216" s="58" t="s">
        <v>271</v>
      </c>
      <c r="D216" s="58" t="s">
        <v>272</v>
      </c>
    </row>
    <row r="217" spans="1:4" s="119" customFormat="1" ht="22" customHeight="1">
      <c r="A217" s="114">
        <v>1</v>
      </c>
      <c r="B217" s="114">
        <v>3</v>
      </c>
      <c r="C217" s="58" t="s">
        <v>1866</v>
      </c>
      <c r="D217" s="58" t="s">
        <v>2299</v>
      </c>
    </row>
    <row r="218" spans="1:4" s="119" customFormat="1" ht="21.5" customHeight="1">
      <c r="A218" s="114">
        <v>1</v>
      </c>
      <c r="B218" s="114">
        <v>3</v>
      </c>
      <c r="C218" s="58" t="s">
        <v>1867</v>
      </c>
      <c r="D218" s="58" t="s">
        <v>273</v>
      </c>
    </row>
    <row r="219" spans="1:4" s="119" customFormat="1">
      <c r="A219" s="114">
        <v>1</v>
      </c>
      <c r="B219" s="114">
        <v>3</v>
      </c>
      <c r="C219" s="58" t="s">
        <v>3088</v>
      </c>
      <c r="D219" s="58" t="s">
        <v>274</v>
      </c>
    </row>
    <row r="220" spans="1:4" s="119" customFormat="1" ht="29">
      <c r="A220" s="114">
        <v>1</v>
      </c>
      <c r="B220" s="114">
        <v>2</v>
      </c>
      <c r="C220" s="58" t="s">
        <v>275</v>
      </c>
      <c r="D220" s="58" t="s">
        <v>276</v>
      </c>
    </row>
    <row r="221" spans="1:4" s="119" customFormat="1" ht="29">
      <c r="A221" s="114">
        <v>1</v>
      </c>
      <c r="B221" s="114">
        <v>3</v>
      </c>
      <c r="C221" s="58" t="s">
        <v>277</v>
      </c>
      <c r="D221" s="58" t="s">
        <v>2300</v>
      </c>
    </row>
    <row r="222" spans="1:4" s="119" customFormat="1">
      <c r="A222" s="114">
        <v>1</v>
      </c>
      <c r="B222" s="114">
        <v>3</v>
      </c>
      <c r="C222" s="58" t="s">
        <v>278</v>
      </c>
      <c r="D222" s="58" t="s">
        <v>279</v>
      </c>
    </row>
    <row r="223" spans="1:4" s="119" customFormat="1">
      <c r="A223" s="114">
        <v>1</v>
      </c>
      <c r="B223" s="114">
        <v>3</v>
      </c>
      <c r="C223" s="58" t="s">
        <v>280</v>
      </c>
      <c r="D223" s="58" t="s">
        <v>281</v>
      </c>
    </row>
    <row r="224" spans="1:4" s="119" customFormat="1" ht="19" customHeight="1">
      <c r="A224" s="114">
        <v>1</v>
      </c>
      <c r="B224" s="114">
        <v>3</v>
      </c>
      <c r="C224" s="58" t="s">
        <v>282</v>
      </c>
      <c r="D224" s="58" t="s">
        <v>283</v>
      </c>
    </row>
    <row r="225" spans="1:4" s="119" customFormat="1" ht="29">
      <c r="A225" s="114">
        <v>1</v>
      </c>
      <c r="B225" s="114">
        <v>3</v>
      </c>
      <c r="C225" s="58" t="s">
        <v>284</v>
      </c>
      <c r="D225" s="58" t="s">
        <v>285</v>
      </c>
    </row>
    <row r="226" spans="1:4" s="119" customFormat="1" ht="29">
      <c r="A226" s="114">
        <v>1</v>
      </c>
      <c r="B226" s="114">
        <v>1</v>
      </c>
      <c r="C226" s="58" t="s">
        <v>286</v>
      </c>
      <c r="D226" s="58" t="s">
        <v>287</v>
      </c>
    </row>
    <row r="227" spans="1:4" s="119" customFormat="1">
      <c r="A227" s="114">
        <v>1</v>
      </c>
      <c r="B227" s="114">
        <v>2</v>
      </c>
      <c r="C227" s="58" t="s">
        <v>2301</v>
      </c>
      <c r="D227" s="58" t="s">
        <v>2302</v>
      </c>
    </row>
    <row r="228" spans="1:4" s="119" customFormat="1">
      <c r="A228" s="114">
        <v>1</v>
      </c>
      <c r="B228" s="114">
        <v>2</v>
      </c>
      <c r="C228" s="58" t="s">
        <v>288</v>
      </c>
      <c r="D228" s="58" t="s">
        <v>289</v>
      </c>
    </row>
    <row r="229" spans="1:4" s="119" customFormat="1">
      <c r="A229" s="114">
        <v>1</v>
      </c>
      <c r="B229" s="114">
        <v>2</v>
      </c>
      <c r="C229" s="58" t="s">
        <v>290</v>
      </c>
      <c r="D229" s="58" t="s">
        <v>291</v>
      </c>
    </row>
    <row r="230" spans="1:4" s="119" customFormat="1">
      <c r="A230" s="116">
        <v>1</v>
      </c>
      <c r="B230" s="116">
        <v>2</v>
      </c>
      <c r="C230" s="117" t="s">
        <v>2948</v>
      </c>
      <c r="D230" s="117" t="s">
        <v>2949</v>
      </c>
    </row>
    <row r="231" spans="1:4" s="119" customFormat="1">
      <c r="A231" s="114">
        <v>1</v>
      </c>
      <c r="B231" s="114">
        <v>2</v>
      </c>
      <c r="C231" s="58" t="s">
        <v>292</v>
      </c>
      <c r="D231" s="58" t="s">
        <v>2303</v>
      </c>
    </row>
    <row r="232" spans="1:4" s="119" customFormat="1">
      <c r="A232" s="114">
        <v>1</v>
      </c>
      <c r="B232" s="114">
        <v>3</v>
      </c>
      <c r="C232" s="58" t="s">
        <v>2304</v>
      </c>
      <c r="D232" s="58" t="s">
        <v>1278</v>
      </c>
    </row>
    <row r="233" spans="1:4" s="119" customFormat="1">
      <c r="A233" s="114">
        <v>1</v>
      </c>
      <c r="B233" s="114">
        <v>3</v>
      </c>
      <c r="C233" s="58" t="s">
        <v>1868</v>
      </c>
      <c r="D233" s="58" t="s">
        <v>1279</v>
      </c>
    </row>
    <row r="234" spans="1:4" s="119" customFormat="1" ht="22" customHeight="1">
      <c r="A234" s="114">
        <v>1</v>
      </c>
      <c r="B234" s="114">
        <v>3</v>
      </c>
      <c r="C234" s="58" t="s">
        <v>1869</v>
      </c>
      <c r="D234" s="58" t="s">
        <v>2305</v>
      </c>
    </row>
    <row r="235" spans="1:4" s="119" customFormat="1">
      <c r="A235" s="114">
        <v>1</v>
      </c>
      <c r="B235" s="114">
        <v>3</v>
      </c>
      <c r="C235" s="58" t="s">
        <v>2306</v>
      </c>
      <c r="D235" s="58" t="s">
        <v>2307</v>
      </c>
    </row>
    <row r="236" spans="1:4" s="119" customFormat="1">
      <c r="A236" s="114">
        <v>1</v>
      </c>
      <c r="B236" s="114">
        <v>3</v>
      </c>
      <c r="C236" s="58" t="s">
        <v>2308</v>
      </c>
      <c r="D236" s="58" t="s">
        <v>2309</v>
      </c>
    </row>
    <row r="237" spans="1:4" s="119" customFormat="1" ht="24.5" customHeight="1">
      <c r="A237" s="114">
        <v>1</v>
      </c>
      <c r="B237" s="114">
        <v>2</v>
      </c>
      <c r="C237" s="58" t="s">
        <v>293</v>
      </c>
      <c r="D237" s="58" t="s">
        <v>294</v>
      </c>
    </row>
    <row r="238" spans="1:4" s="119" customFormat="1" ht="29">
      <c r="A238" s="114">
        <v>1</v>
      </c>
      <c r="B238" s="114">
        <v>3</v>
      </c>
      <c r="C238" s="58" t="s">
        <v>2310</v>
      </c>
      <c r="D238" s="58" t="s">
        <v>2311</v>
      </c>
    </row>
    <row r="239" spans="1:4" s="119" customFormat="1">
      <c r="A239" s="114">
        <v>1</v>
      </c>
      <c r="B239" s="114">
        <v>3</v>
      </c>
      <c r="C239" s="58" t="s">
        <v>2312</v>
      </c>
      <c r="D239" s="58" t="s">
        <v>2313</v>
      </c>
    </row>
    <row r="240" spans="1:4" s="119" customFormat="1">
      <c r="A240" s="114">
        <v>1</v>
      </c>
      <c r="B240" s="114">
        <v>3</v>
      </c>
      <c r="C240" s="58" t="s">
        <v>2314</v>
      </c>
      <c r="D240" s="58" t="s">
        <v>2315</v>
      </c>
    </row>
    <row r="241" spans="1:4" s="119" customFormat="1">
      <c r="A241" s="114">
        <v>1</v>
      </c>
      <c r="B241" s="114">
        <v>3</v>
      </c>
      <c r="C241" s="58" t="s">
        <v>2316</v>
      </c>
      <c r="D241" s="58" t="s">
        <v>2978</v>
      </c>
    </row>
    <row r="242" spans="1:4" s="119" customFormat="1" ht="29">
      <c r="A242" s="114">
        <v>1</v>
      </c>
      <c r="B242" s="114">
        <v>3</v>
      </c>
      <c r="C242" s="58" t="s">
        <v>2317</v>
      </c>
      <c r="D242" s="58" t="s">
        <v>2318</v>
      </c>
    </row>
    <row r="243" spans="1:4" s="119" customFormat="1" ht="29">
      <c r="A243" s="114">
        <v>1</v>
      </c>
      <c r="B243" s="114">
        <v>1</v>
      </c>
      <c r="C243" s="58" t="s">
        <v>295</v>
      </c>
      <c r="D243" s="58" t="s">
        <v>2980</v>
      </c>
    </row>
    <row r="244" spans="1:4" s="119" customFormat="1">
      <c r="A244" s="114">
        <v>1</v>
      </c>
      <c r="B244" s="114">
        <v>2</v>
      </c>
      <c r="C244" s="58" t="s">
        <v>296</v>
      </c>
      <c r="D244" s="58" t="s">
        <v>297</v>
      </c>
    </row>
    <row r="245" spans="1:4" s="119" customFormat="1">
      <c r="A245" s="114">
        <v>1</v>
      </c>
      <c r="B245" s="114">
        <v>2</v>
      </c>
      <c r="C245" s="58" t="s">
        <v>2319</v>
      </c>
      <c r="D245" s="58" t="s">
        <v>2320</v>
      </c>
    </row>
    <row r="246" spans="1:4" s="119" customFormat="1">
      <c r="A246" s="114">
        <v>1</v>
      </c>
      <c r="B246" s="114">
        <v>2</v>
      </c>
      <c r="C246" s="58" t="s">
        <v>298</v>
      </c>
      <c r="D246" s="58" t="s">
        <v>299</v>
      </c>
    </row>
    <row r="247" spans="1:4" s="119" customFormat="1">
      <c r="A247" s="114">
        <v>1</v>
      </c>
      <c r="B247" s="114">
        <v>2</v>
      </c>
      <c r="C247" s="58" t="s">
        <v>300</v>
      </c>
      <c r="D247" s="58" t="s">
        <v>2321</v>
      </c>
    </row>
    <row r="248" spans="1:4" s="119" customFormat="1">
      <c r="A248" s="114">
        <v>1</v>
      </c>
      <c r="B248" s="114">
        <v>2</v>
      </c>
      <c r="C248" s="58" t="s">
        <v>2322</v>
      </c>
      <c r="D248" s="58" t="s">
        <v>2323</v>
      </c>
    </row>
    <row r="249" spans="1:4" s="119" customFormat="1" ht="29">
      <c r="A249" s="114">
        <v>1</v>
      </c>
      <c r="B249" s="114">
        <v>3</v>
      </c>
      <c r="C249" s="58" t="s">
        <v>301</v>
      </c>
      <c r="D249" s="58" t="s">
        <v>2324</v>
      </c>
    </row>
    <row r="250" spans="1:4" s="119" customFormat="1">
      <c r="A250" s="114">
        <v>1</v>
      </c>
      <c r="B250" s="114">
        <v>3</v>
      </c>
      <c r="C250" s="58" t="s">
        <v>302</v>
      </c>
      <c r="D250" s="58" t="s">
        <v>2325</v>
      </c>
    </row>
    <row r="251" spans="1:4" s="119" customFormat="1" ht="29">
      <c r="A251" s="114">
        <v>1</v>
      </c>
      <c r="B251" s="114">
        <v>2</v>
      </c>
      <c r="C251" s="58" t="s">
        <v>303</v>
      </c>
      <c r="D251" s="58" t="s">
        <v>304</v>
      </c>
    </row>
    <row r="252" spans="1:4" s="119" customFormat="1">
      <c r="A252" s="114">
        <v>1</v>
      </c>
      <c r="B252" s="114">
        <v>3</v>
      </c>
      <c r="C252" s="58" t="s">
        <v>305</v>
      </c>
      <c r="D252" s="58" t="s">
        <v>306</v>
      </c>
    </row>
    <row r="253" spans="1:4" s="119" customFormat="1">
      <c r="A253" s="114">
        <v>1</v>
      </c>
      <c r="B253" s="114">
        <v>3</v>
      </c>
      <c r="C253" s="58" t="s">
        <v>307</v>
      </c>
      <c r="D253" s="58" t="s">
        <v>308</v>
      </c>
    </row>
    <row r="254" spans="1:4" s="119" customFormat="1">
      <c r="A254" s="114">
        <v>1</v>
      </c>
      <c r="B254" s="114">
        <v>2</v>
      </c>
      <c r="C254" s="58" t="s">
        <v>309</v>
      </c>
      <c r="D254" s="58" t="s">
        <v>310</v>
      </c>
    </row>
    <row r="255" spans="1:4" s="119" customFormat="1">
      <c r="A255" s="114">
        <v>1</v>
      </c>
      <c r="B255" s="114">
        <v>3</v>
      </c>
      <c r="C255" s="58" t="s">
        <v>311</v>
      </c>
      <c r="D255" s="58" t="s">
        <v>2326</v>
      </c>
    </row>
    <row r="256" spans="1:4" s="119" customFormat="1" ht="23" customHeight="1">
      <c r="A256" s="114">
        <v>1</v>
      </c>
      <c r="B256" s="114">
        <v>3</v>
      </c>
      <c r="C256" s="58" t="s">
        <v>312</v>
      </c>
      <c r="D256" s="58" t="s">
        <v>2327</v>
      </c>
    </row>
    <row r="257" spans="1:4" s="119" customFormat="1" ht="29">
      <c r="A257" s="114">
        <v>1</v>
      </c>
      <c r="B257" s="114">
        <v>3</v>
      </c>
      <c r="C257" s="58" t="s">
        <v>313</v>
      </c>
      <c r="D257" s="58" t="s">
        <v>626</v>
      </c>
    </row>
    <row r="258" spans="1:4" s="115" customFormat="1" ht="23" customHeight="1">
      <c r="A258" s="114">
        <v>1</v>
      </c>
      <c r="B258" s="114">
        <v>2</v>
      </c>
      <c r="C258" s="58" t="s">
        <v>314</v>
      </c>
      <c r="D258" s="58" t="s">
        <v>315</v>
      </c>
    </row>
    <row r="259" spans="1:4" s="115" customFormat="1">
      <c r="A259" s="114">
        <v>1</v>
      </c>
      <c r="B259" s="114">
        <v>3</v>
      </c>
      <c r="C259" s="58" t="s">
        <v>1870</v>
      </c>
      <c r="D259" s="58" t="s">
        <v>1280</v>
      </c>
    </row>
    <row r="260" spans="1:4" s="115" customFormat="1">
      <c r="A260" s="114">
        <v>1</v>
      </c>
      <c r="B260" s="114">
        <v>3</v>
      </c>
      <c r="C260" s="58" t="s">
        <v>1871</v>
      </c>
      <c r="D260" s="58" t="s">
        <v>2328</v>
      </c>
    </row>
    <row r="261" spans="1:4" s="115" customFormat="1">
      <c r="A261" s="114">
        <v>1</v>
      </c>
      <c r="B261" s="114">
        <v>3</v>
      </c>
      <c r="C261" s="58" t="s">
        <v>3089</v>
      </c>
      <c r="D261" s="58" t="s">
        <v>316</v>
      </c>
    </row>
    <row r="262" spans="1:4" s="115" customFormat="1">
      <c r="A262" s="114">
        <v>1</v>
      </c>
      <c r="B262" s="114">
        <v>3</v>
      </c>
      <c r="C262" s="58" t="s">
        <v>1872</v>
      </c>
      <c r="D262" s="58" t="s">
        <v>2329</v>
      </c>
    </row>
    <row r="263" spans="1:4" s="115" customFormat="1" ht="23.5" customHeight="1">
      <c r="A263" s="114">
        <v>1</v>
      </c>
      <c r="B263" s="114">
        <v>3</v>
      </c>
      <c r="C263" s="58" t="s">
        <v>1873</v>
      </c>
      <c r="D263" s="58" t="s">
        <v>2330</v>
      </c>
    </row>
    <row r="264" spans="1:4" s="115" customFormat="1">
      <c r="A264" s="114">
        <v>1</v>
      </c>
      <c r="B264" s="114">
        <v>3</v>
      </c>
      <c r="C264" s="58" t="s">
        <v>2331</v>
      </c>
      <c r="D264" s="58" t="s">
        <v>2332</v>
      </c>
    </row>
    <row r="265" spans="1:4" s="115" customFormat="1">
      <c r="A265" s="114">
        <v>1</v>
      </c>
      <c r="B265" s="114">
        <v>3</v>
      </c>
      <c r="C265" s="58" t="s">
        <v>2333</v>
      </c>
      <c r="D265" s="58" t="s">
        <v>2706</v>
      </c>
    </row>
    <row r="266" spans="1:4" s="115" customFormat="1">
      <c r="A266" s="114">
        <v>1</v>
      </c>
      <c r="B266" s="114">
        <v>3</v>
      </c>
      <c r="C266" s="58" t="s">
        <v>2335</v>
      </c>
      <c r="D266" s="58" t="s">
        <v>2336</v>
      </c>
    </row>
    <row r="267" spans="1:4" s="115" customFormat="1" ht="29">
      <c r="A267" s="116">
        <v>1</v>
      </c>
      <c r="B267" s="114">
        <v>3</v>
      </c>
      <c r="C267" s="58" t="s">
        <v>1873</v>
      </c>
      <c r="D267" s="58" t="s">
        <v>3205</v>
      </c>
    </row>
    <row r="268" spans="1:4" s="115" customFormat="1">
      <c r="A268" s="114">
        <v>1</v>
      </c>
      <c r="B268" s="114">
        <v>3</v>
      </c>
      <c r="C268" s="58" t="s">
        <v>2334</v>
      </c>
      <c r="D268" s="58" t="s">
        <v>3090</v>
      </c>
    </row>
    <row r="269" spans="1:4" s="115" customFormat="1" ht="29">
      <c r="A269" s="114">
        <v>1</v>
      </c>
      <c r="B269" s="114">
        <v>2</v>
      </c>
      <c r="C269" s="58" t="s">
        <v>2337</v>
      </c>
      <c r="D269" s="58" t="s">
        <v>317</v>
      </c>
    </row>
    <row r="270" spans="1:4" s="115" customFormat="1" ht="29">
      <c r="A270" s="114">
        <v>1</v>
      </c>
      <c r="B270" s="114">
        <v>3</v>
      </c>
      <c r="C270" s="58" t="s">
        <v>318</v>
      </c>
      <c r="D270" s="58" t="s">
        <v>2338</v>
      </c>
    </row>
    <row r="271" spans="1:4" s="115" customFormat="1">
      <c r="A271" s="114">
        <v>1</v>
      </c>
      <c r="B271" s="114">
        <v>3</v>
      </c>
      <c r="C271" s="58" t="s">
        <v>319</v>
      </c>
      <c r="D271" s="58" t="s">
        <v>320</v>
      </c>
    </row>
    <row r="272" spans="1:4" s="115" customFormat="1">
      <c r="A272" s="114">
        <v>1</v>
      </c>
      <c r="B272" s="114">
        <v>3</v>
      </c>
      <c r="C272" s="58" t="s">
        <v>321</v>
      </c>
      <c r="D272" s="58" t="s">
        <v>322</v>
      </c>
    </row>
    <row r="273" spans="1:4" s="115" customFormat="1" ht="24" customHeight="1">
      <c r="A273" s="114">
        <v>1</v>
      </c>
      <c r="B273" s="114">
        <v>3</v>
      </c>
      <c r="C273" s="58" t="s">
        <v>323</v>
      </c>
      <c r="D273" s="58" t="s">
        <v>2339</v>
      </c>
    </row>
    <row r="274" spans="1:4" s="115" customFormat="1" ht="29">
      <c r="A274" s="114">
        <v>1</v>
      </c>
      <c r="B274" s="114">
        <v>3</v>
      </c>
      <c r="C274" s="58" t="s">
        <v>324</v>
      </c>
      <c r="D274" s="58" t="s">
        <v>325</v>
      </c>
    </row>
    <row r="275" spans="1:4" s="119" customFormat="1" ht="29">
      <c r="A275" s="114">
        <v>2</v>
      </c>
      <c r="B275" s="114">
        <v>1</v>
      </c>
      <c r="C275" s="58" t="s">
        <v>326</v>
      </c>
      <c r="D275" s="58" t="s">
        <v>2707</v>
      </c>
    </row>
    <row r="276" spans="1:4" s="119" customFormat="1">
      <c r="A276" s="114">
        <v>2</v>
      </c>
      <c r="B276" s="114">
        <v>2</v>
      </c>
      <c r="C276" s="58" t="s">
        <v>327</v>
      </c>
      <c r="D276" s="58" t="s">
        <v>1413</v>
      </c>
    </row>
    <row r="277" spans="1:4" s="119" customFormat="1" ht="29">
      <c r="A277" s="114">
        <v>2</v>
      </c>
      <c r="B277" s="114">
        <v>2</v>
      </c>
      <c r="C277" s="58" t="s">
        <v>328</v>
      </c>
      <c r="D277" s="58" t="s">
        <v>329</v>
      </c>
    </row>
    <row r="278" spans="1:4" s="119" customFormat="1">
      <c r="A278" s="114">
        <v>2</v>
      </c>
      <c r="B278" s="114">
        <v>3</v>
      </c>
      <c r="C278" s="58" t="s">
        <v>2340</v>
      </c>
      <c r="D278" s="58" t="s">
        <v>2117</v>
      </c>
    </row>
    <row r="279" spans="1:4" s="119" customFormat="1" ht="22" customHeight="1">
      <c r="A279" s="114">
        <v>2</v>
      </c>
      <c r="B279" s="114">
        <v>3</v>
      </c>
      <c r="C279" s="58" t="s">
        <v>2341</v>
      </c>
      <c r="D279" s="58" t="s">
        <v>330</v>
      </c>
    </row>
    <row r="280" spans="1:4" s="119" customFormat="1" ht="29">
      <c r="A280" s="114">
        <v>2</v>
      </c>
      <c r="B280" s="114">
        <v>4</v>
      </c>
      <c r="C280" s="58" t="s">
        <v>331</v>
      </c>
      <c r="D280" s="58" t="s">
        <v>2342</v>
      </c>
    </row>
    <row r="281" spans="1:4" s="119" customFormat="1" ht="22" customHeight="1">
      <c r="A281" s="114">
        <v>2</v>
      </c>
      <c r="B281" s="114">
        <v>4</v>
      </c>
      <c r="C281" s="58" t="s">
        <v>332</v>
      </c>
      <c r="D281" s="58" t="s">
        <v>2343</v>
      </c>
    </row>
    <row r="282" spans="1:4" s="119" customFormat="1" ht="29">
      <c r="A282" s="114">
        <v>2</v>
      </c>
      <c r="B282" s="114">
        <v>4</v>
      </c>
      <c r="C282" s="58" t="s">
        <v>333</v>
      </c>
      <c r="D282" s="58" t="s">
        <v>2344</v>
      </c>
    </row>
    <row r="283" spans="1:4" s="119" customFormat="1" ht="22.5" customHeight="1">
      <c r="A283" s="114">
        <v>2</v>
      </c>
      <c r="B283" s="114">
        <v>3</v>
      </c>
      <c r="C283" s="58" t="s">
        <v>334</v>
      </c>
      <c r="D283" s="58" t="s">
        <v>1414</v>
      </c>
    </row>
    <row r="284" spans="1:4" s="119" customFormat="1">
      <c r="A284" s="114">
        <v>2</v>
      </c>
      <c r="B284" s="114">
        <v>4</v>
      </c>
      <c r="C284" s="58" t="s">
        <v>335</v>
      </c>
      <c r="D284" s="58" t="s">
        <v>2345</v>
      </c>
    </row>
    <row r="285" spans="1:4" s="119" customFormat="1" ht="29">
      <c r="A285" s="114">
        <v>2</v>
      </c>
      <c r="B285" s="114">
        <v>4</v>
      </c>
      <c r="C285" s="58" t="s">
        <v>336</v>
      </c>
      <c r="D285" s="58" t="s">
        <v>337</v>
      </c>
    </row>
    <row r="286" spans="1:4" s="119" customFormat="1" ht="29">
      <c r="A286" s="116">
        <v>2</v>
      </c>
      <c r="B286" s="116">
        <v>3</v>
      </c>
      <c r="C286" s="117" t="s">
        <v>2975</v>
      </c>
      <c r="D286" s="117" t="s">
        <v>2965</v>
      </c>
    </row>
    <row r="287" spans="1:4" s="119" customFormat="1" ht="29">
      <c r="A287" s="114">
        <v>2</v>
      </c>
      <c r="B287" s="114">
        <v>4</v>
      </c>
      <c r="C287" s="58" t="s">
        <v>2982</v>
      </c>
      <c r="D287" s="58" t="s">
        <v>2346</v>
      </c>
    </row>
    <row r="288" spans="1:4" s="119" customFormat="1">
      <c r="A288" s="114">
        <v>2</v>
      </c>
      <c r="B288" s="114">
        <v>4</v>
      </c>
      <c r="C288" s="58" t="s">
        <v>2983</v>
      </c>
      <c r="D288" s="58" t="s">
        <v>3091</v>
      </c>
    </row>
    <row r="289" spans="1:4" s="119" customFormat="1" ht="29">
      <c r="A289" s="114">
        <v>2</v>
      </c>
      <c r="B289" s="114">
        <v>4</v>
      </c>
      <c r="C289" s="58" t="s">
        <v>2984</v>
      </c>
      <c r="D289" s="58" t="s">
        <v>3092</v>
      </c>
    </row>
    <row r="290" spans="1:4" s="119" customFormat="1" ht="24" customHeight="1">
      <c r="A290" s="114">
        <v>2</v>
      </c>
      <c r="B290" s="114">
        <v>4</v>
      </c>
      <c r="C290" s="58" t="s">
        <v>3211</v>
      </c>
      <c r="D290" s="58" t="s">
        <v>2985</v>
      </c>
    </row>
    <row r="291" spans="1:4" s="119" customFormat="1" ht="29">
      <c r="A291" s="114">
        <v>2</v>
      </c>
      <c r="B291" s="114">
        <v>3</v>
      </c>
      <c r="C291" s="58" t="s">
        <v>338</v>
      </c>
      <c r="D291" s="58" t="s">
        <v>339</v>
      </c>
    </row>
    <row r="292" spans="1:4" s="115" customFormat="1" ht="29">
      <c r="A292" s="114">
        <v>2</v>
      </c>
      <c r="B292" s="114">
        <v>4</v>
      </c>
      <c r="C292" s="58" t="s">
        <v>340</v>
      </c>
      <c r="D292" s="58" t="s">
        <v>2347</v>
      </c>
    </row>
    <row r="293" spans="1:4" s="115" customFormat="1" ht="23" customHeight="1">
      <c r="A293" s="114">
        <v>2</v>
      </c>
      <c r="B293" s="114">
        <v>4</v>
      </c>
      <c r="C293" s="58" t="s">
        <v>341</v>
      </c>
      <c r="D293" s="58" t="s">
        <v>2348</v>
      </c>
    </row>
    <row r="294" spans="1:4" s="115" customFormat="1" ht="43.5">
      <c r="A294" s="114">
        <v>2</v>
      </c>
      <c r="B294" s="114">
        <v>2</v>
      </c>
      <c r="C294" s="58" t="s">
        <v>342</v>
      </c>
      <c r="D294" s="58" t="s">
        <v>3095</v>
      </c>
    </row>
    <row r="295" spans="1:4" s="115" customFormat="1">
      <c r="A295" s="114">
        <v>2</v>
      </c>
      <c r="B295" s="114">
        <v>3</v>
      </c>
      <c r="C295" s="58" t="s">
        <v>343</v>
      </c>
      <c r="D295" s="58" t="s">
        <v>2349</v>
      </c>
    </row>
    <row r="296" spans="1:4" s="115" customFormat="1" ht="29">
      <c r="A296" s="114">
        <v>2</v>
      </c>
      <c r="B296" s="114">
        <v>3</v>
      </c>
      <c r="C296" s="58" t="s">
        <v>2350</v>
      </c>
      <c r="D296" s="58" t="s">
        <v>2351</v>
      </c>
    </row>
    <row r="297" spans="1:4" s="115" customFormat="1" ht="36" customHeight="1">
      <c r="A297" s="114">
        <v>2</v>
      </c>
      <c r="B297" s="114">
        <v>2</v>
      </c>
      <c r="C297" s="58" t="s">
        <v>344</v>
      </c>
      <c r="D297" s="58" t="s">
        <v>2118</v>
      </c>
    </row>
    <row r="298" spans="1:4" s="115" customFormat="1">
      <c r="A298" s="114">
        <v>2</v>
      </c>
      <c r="B298" s="114">
        <v>3</v>
      </c>
      <c r="C298" s="58" t="s">
        <v>345</v>
      </c>
      <c r="D298" s="58" t="s">
        <v>346</v>
      </c>
    </row>
    <row r="299" spans="1:4" s="115" customFormat="1">
      <c r="A299" s="114">
        <v>2</v>
      </c>
      <c r="B299" s="114">
        <v>3</v>
      </c>
      <c r="C299" s="58" t="s">
        <v>347</v>
      </c>
      <c r="D299" s="58" t="s">
        <v>1415</v>
      </c>
    </row>
    <row r="300" spans="1:4" s="115" customFormat="1" ht="29">
      <c r="A300" s="114">
        <v>2</v>
      </c>
      <c r="B300" s="114">
        <v>3</v>
      </c>
      <c r="C300" s="58" t="s">
        <v>348</v>
      </c>
      <c r="D300" s="58" t="s">
        <v>2215</v>
      </c>
    </row>
    <row r="301" spans="1:4" s="115" customFormat="1" ht="29">
      <c r="A301" s="114">
        <v>2</v>
      </c>
      <c r="B301" s="114">
        <v>2</v>
      </c>
      <c r="C301" s="58" t="s">
        <v>349</v>
      </c>
      <c r="D301" s="58" t="s">
        <v>1283</v>
      </c>
    </row>
    <row r="302" spans="1:4" s="115" customFormat="1" ht="23.5" customHeight="1">
      <c r="A302" s="114">
        <v>2</v>
      </c>
      <c r="B302" s="114">
        <v>3</v>
      </c>
      <c r="C302" s="58" t="s">
        <v>350</v>
      </c>
      <c r="D302" s="58" t="s">
        <v>2352</v>
      </c>
    </row>
    <row r="303" spans="1:4" s="115" customFormat="1" ht="29">
      <c r="A303" s="114">
        <v>2</v>
      </c>
      <c r="B303" s="114">
        <v>3</v>
      </c>
      <c r="C303" s="58" t="s">
        <v>351</v>
      </c>
      <c r="D303" s="58" t="s">
        <v>2353</v>
      </c>
    </row>
    <row r="304" spans="1:4" s="115" customFormat="1" ht="29">
      <c r="A304" s="114">
        <v>2</v>
      </c>
      <c r="B304" s="114">
        <v>2</v>
      </c>
      <c r="C304" s="58" t="s">
        <v>352</v>
      </c>
      <c r="D304" s="58" t="s">
        <v>1416</v>
      </c>
    </row>
    <row r="305" spans="1:4" s="115" customFormat="1">
      <c r="A305" s="114">
        <v>2</v>
      </c>
      <c r="B305" s="114">
        <v>3</v>
      </c>
      <c r="C305" s="58" t="s">
        <v>353</v>
      </c>
      <c r="D305" s="58" t="s">
        <v>354</v>
      </c>
    </row>
    <row r="306" spans="1:4" s="115" customFormat="1" ht="20.5" customHeight="1">
      <c r="A306" s="114">
        <v>2</v>
      </c>
      <c r="B306" s="114">
        <v>3</v>
      </c>
      <c r="C306" s="58" t="s">
        <v>355</v>
      </c>
      <c r="D306" s="58" t="s">
        <v>2119</v>
      </c>
    </row>
    <row r="307" spans="1:4" s="115" customFormat="1" ht="29">
      <c r="A307" s="114">
        <v>2</v>
      </c>
      <c r="B307" s="114">
        <v>3</v>
      </c>
      <c r="C307" s="58" t="s">
        <v>356</v>
      </c>
      <c r="D307" s="58" t="s">
        <v>2354</v>
      </c>
    </row>
    <row r="308" spans="1:4" s="119" customFormat="1">
      <c r="A308" s="114">
        <v>2</v>
      </c>
      <c r="B308" s="114">
        <v>2</v>
      </c>
      <c r="C308" s="58" t="s">
        <v>357</v>
      </c>
      <c r="D308" s="58" t="s">
        <v>1417</v>
      </c>
    </row>
    <row r="309" spans="1:4" s="119" customFormat="1" ht="29">
      <c r="A309" s="114">
        <v>2</v>
      </c>
      <c r="B309" s="114">
        <v>3</v>
      </c>
      <c r="C309" s="58" t="s">
        <v>358</v>
      </c>
      <c r="D309" s="58" t="s">
        <v>2355</v>
      </c>
    </row>
    <row r="310" spans="1:4" s="119" customFormat="1" ht="29">
      <c r="A310" s="114">
        <v>2</v>
      </c>
      <c r="B310" s="114">
        <v>3</v>
      </c>
      <c r="C310" s="58" t="s">
        <v>359</v>
      </c>
      <c r="D310" s="58" t="s">
        <v>360</v>
      </c>
    </row>
    <row r="311" spans="1:4" s="119" customFormat="1" ht="29">
      <c r="A311" s="114">
        <v>2</v>
      </c>
      <c r="B311" s="114">
        <v>3</v>
      </c>
      <c r="C311" s="58" t="s">
        <v>361</v>
      </c>
      <c r="D311" s="58" t="s">
        <v>1418</v>
      </c>
    </row>
    <row r="312" spans="1:4" s="119" customFormat="1" ht="35.5" customHeight="1">
      <c r="A312" s="114">
        <v>2</v>
      </c>
      <c r="B312" s="114">
        <v>2</v>
      </c>
      <c r="C312" s="58" t="s">
        <v>1419</v>
      </c>
      <c r="D312" s="58" t="s">
        <v>1420</v>
      </c>
    </row>
    <row r="313" spans="1:4" s="119" customFormat="1" ht="22.5" customHeight="1">
      <c r="A313" s="114">
        <v>2</v>
      </c>
      <c r="B313" s="114">
        <v>3</v>
      </c>
      <c r="C313" s="58" t="s">
        <v>1421</v>
      </c>
      <c r="D313" s="58" t="s">
        <v>2356</v>
      </c>
    </row>
    <row r="314" spans="1:4" s="119" customFormat="1" ht="29">
      <c r="A314" s="114">
        <v>2</v>
      </c>
      <c r="B314" s="114">
        <v>3</v>
      </c>
      <c r="C314" s="58" t="s">
        <v>2717</v>
      </c>
      <c r="D314" s="58" t="s">
        <v>1422</v>
      </c>
    </row>
    <row r="315" spans="1:4" s="119" customFormat="1">
      <c r="A315" s="114">
        <v>2</v>
      </c>
      <c r="B315" s="114">
        <v>2</v>
      </c>
      <c r="C315" s="58" t="s">
        <v>362</v>
      </c>
      <c r="D315" s="58" t="s">
        <v>2708</v>
      </c>
    </row>
    <row r="316" spans="1:4" s="119" customFormat="1">
      <c r="A316" s="114">
        <v>2</v>
      </c>
      <c r="B316" s="114">
        <v>3</v>
      </c>
      <c r="C316" s="58" t="s">
        <v>1874</v>
      </c>
      <c r="D316" s="58" t="s">
        <v>1284</v>
      </c>
    </row>
    <row r="317" spans="1:4" s="119" customFormat="1">
      <c r="A317" s="114">
        <v>2</v>
      </c>
      <c r="B317" s="114">
        <v>3</v>
      </c>
      <c r="C317" s="58" t="s">
        <v>1875</v>
      </c>
      <c r="D317" s="58" t="s">
        <v>1285</v>
      </c>
    </row>
    <row r="318" spans="1:4" s="119" customFormat="1">
      <c r="A318" s="114">
        <v>2</v>
      </c>
      <c r="B318" s="114">
        <v>3</v>
      </c>
      <c r="C318" s="58" t="s">
        <v>1876</v>
      </c>
      <c r="D318" s="58" t="s">
        <v>363</v>
      </c>
    </row>
    <row r="319" spans="1:4" s="119" customFormat="1">
      <c r="A319" s="114">
        <v>2</v>
      </c>
      <c r="B319" s="114">
        <v>3</v>
      </c>
      <c r="C319" s="58" t="s">
        <v>1877</v>
      </c>
      <c r="D319" s="58" t="s">
        <v>1286</v>
      </c>
    </row>
    <row r="320" spans="1:4" s="119" customFormat="1">
      <c r="A320" s="114">
        <v>2</v>
      </c>
      <c r="B320" s="114">
        <v>3</v>
      </c>
      <c r="C320" s="58" t="s">
        <v>1878</v>
      </c>
      <c r="D320" s="58" t="s">
        <v>364</v>
      </c>
    </row>
    <row r="321" spans="1:4" s="119" customFormat="1">
      <c r="A321" s="114">
        <v>2</v>
      </c>
      <c r="B321" s="114">
        <v>3</v>
      </c>
      <c r="C321" s="58" t="s">
        <v>1879</v>
      </c>
      <c r="D321" s="58" t="s">
        <v>365</v>
      </c>
    </row>
    <row r="322" spans="1:4" s="119" customFormat="1" ht="19.5" customHeight="1">
      <c r="A322" s="114">
        <v>2</v>
      </c>
      <c r="B322" s="114">
        <v>3</v>
      </c>
      <c r="C322" s="58" t="s">
        <v>1880</v>
      </c>
      <c r="D322" s="58" t="s">
        <v>1881</v>
      </c>
    </row>
    <row r="323" spans="1:4" s="119" customFormat="1">
      <c r="A323" s="114">
        <v>2</v>
      </c>
      <c r="B323" s="114">
        <v>3</v>
      </c>
      <c r="C323" s="58" t="s">
        <v>1882</v>
      </c>
      <c r="D323" s="58" t="s">
        <v>366</v>
      </c>
    </row>
    <row r="324" spans="1:4" s="115" customFormat="1">
      <c r="A324" s="114">
        <v>2</v>
      </c>
      <c r="B324" s="114">
        <v>3</v>
      </c>
      <c r="C324" s="58" t="s">
        <v>1883</v>
      </c>
      <c r="D324" s="58" t="s">
        <v>367</v>
      </c>
    </row>
    <row r="325" spans="1:4" s="115" customFormat="1">
      <c r="A325" s="114">
        <v>2</v>
      </c>
      <c r="B325" s="114">
        <v>3</v>
      </c>
      <c r="C325" s="58" t="s">
        <v>1991</v>
      </c>
      <c r="D325" s="58" t="s">
        <v>2220</v>
      </c>
    </row>
    <row r="326" spans="1:4" s="115" customFormat="1">
      <c r="A326" s="114">
        <v>2</v>
      </c>
      <c r="B326" s="114">
        <v>3</v>
      </c>
      <c r="C326" s="58" t="s">
        <v>1884</v>
      </c>
      <c r="D326" s="58" t="s">
        <v>368</v>
      </c>
    </row>
    <row r="327" spans="1:4" s="115" customFormat="1" ht="21.5" customHeight="1">
      <c r="A327" s="114">
        <v>2</v>
      </c>
      <c r="B327" s="114">
        <v>3</v>
      </c>
      <c r="C327" s="58" t="s">
        <v>1885</v>
      </c>
      <c r="D327" s="58" t="s">
        <v>2357</v>
      </c>
    </row>
    <row r="328" spans="1:4" s="115" customFormat="1">
      <c r="A328" s="114">
        <v>2</v>
      </c>
      <c r="B328" s="114">
        <v>3</v>
      </c>
      <c r="C328" s="58" t="s">
        <v>1886</v>
      </c>
      <c r="D328" s="58" t="s">
        <v>369</v>
      </c>
    </row>
    <row r="329" spans="1:4" s="115" customFormat="1">
      <c r="A329" s="114">
        <v>2</v>
      </c>
      <c r="B329" s="114">
        <v>3</v>
      </c>
      <c r="C329" s="58" t="s">
        <v>1887</v>
      </c>
      <c r="D329" s="58" t="s">
        <v>2358</v>
      </c>
    </row>
    <row r="330" spans="1:4" s="115" customFormat="1">
      <c r="A330" s="114">
        <v>2</v>
      </c>
      <c r="B330" s="114">
        <v>3</v>
      </c>
      <c r="C330" s="58" t="s">
        <v>3093</v>
      </c>
      <c r="D330" s="58" t="s">
        <v>2359</v>
      </c>
    </row>
    <row r="331" spans="1:4" s="115" customFormat="1" ht="29">
      <c r="A331" s="114">
        <v>2</v>
      </c>
      <c r="B331" s="114">
        <v>2</v>
      </c>
      <c r="C331" s="58" t="s">
        <v>2360</v>
      </c>
      <c r="D331" s="58" t="s">
        <v>370</v>
      </c>
    </row>
    <row r="332" spans="1:4" s="115" customFormat="1" ht="29">
      <c r="A332" s="114">
        <v>2</v>
      </c>
      <c r="B332" s="114">
        <v>3</v>
      </c>
      <c r="C332" s="58" t="s">
        <v>371</v>
      </c>
      <c r="D332" s="58" t="s">
        <v>372</v>
      </c>
    </row>
    <row r="333" spans="1:4" s="115" customFormat="1">
      <c r="A333" s="114">
        <v>2</v>
      </c>
      <c r="B333" s="114">
        <v>3</v>
      </c>
      <c r="C333" s="58" t="s">
        <v>373</v>
      </c>
      <c r="D333" s="58" t="s">
        <v>374</v>
      </c>
    </row>
    <row r="334" spans="1:4" s="115" customFormat="1">
      <c r="A334" s="114">
        <v>2</v>
      </c>
      <c r="B334" s="114">
        <v>3</v>
      </c>
      <c r="C334" s="58" t="s">
        <v>375</v>
      </c>
      <c r="D334" s="58" t="s">
        <v>376</v>
      </c>
    </row>
    <row r="335" spans="1:4" s="115" customFormat="1" ht="20" customHeight="1">
      <c r="A335" s="114">
        <v>2</v>
      </c>
      <c r="B335" s="114">
        <v>3</v>
      </c>
      <c r="C335" s="58" t="s">
        <v>377</v>
      </c>
      <c r="D335" s="58" t="s">
        <v>378</v>
      </c>
    </row>
    <row r="336" spans="1:4" s="115" customFormat="1" ht="29">
      <c r="A336" s="114">
        <v>2</v>
      </c>
      <c r="B336" s="114">
        <v>3</v>
      </c>
      <c r="C336" s="58" t="s">
        <v>379</v>
      </c>
      <c r="D336" s="58" t="s">
        <v>2361</v>
      </c>
    </row>
    <row r="337" spans="1:4" s="115" customFormat="1" ht="43.5">
      <c r="A337" s="114">
        <v>2</v>
      </c>
      <c r="B337" s="114">
        <v>1</v>
      </c>
      <c r="C337" s="58" t="s">
        <v>380</v>
      </c>
      <c r="D337" s="58" t="s">
        <v>381</v>
      </c>
    </row>
    <row r="338" spans="1:4" s="115" customFormat="1">
      <c r="A338" s="114">
        <v>2</v>
      </c>
      <c r="B338" s="114">
        <v>2</v>
      </c>
      <c r="C338" s="58" t="s">
        <v>382</v>
      </c>
      <c r="D338" s="58" t="s">
        <v>2362</v>
      </c>
    </row>
    <row r="339" spans="1:4" s="115" customFormat="1" ht="23" customHeight="1">
      <c r="A339" s="114">
        <v>2</v>
      </c>
      <c r="B339" s="114">
        <v>2</v>
      </c>
      <c r="C339" s="58" t="s">
        <v>383</v>
      </c>
      <c r="D339" s="58" t="s">
        <v>1287</v>
      </c>
    </row>
    <row r="340" spans="1:4" s="115" customFormat="1" ht="29">
      <c r="A340" s="114">
        <v>2</v>
      </c>
      <c r="B340" s="114">
        <v>2</v>
      </c>
      <c r="C340" s="58" t="s">
        <v>384</v>
      </c>
      <c r="D340" s="58" t="s">
        <v>385</v>
      </c>
    </row>
    <row r="341" spans="1:4" s="115" customFormat="1" ht="32.5" customHeight="1">
      <c r="A341" s="114">
        <v>2</v>
      </c>
      <c r="B341" s="114">
        <v>3</v>
      </c>
      <c r="C341" s="58" t="s">
        <v>386</v>
      </c>
      <c r="D341" s="58" t="s">
        <v>1288</v>
      </c>
    </row>
    <row r="342" spans="1:4" s="115" customFormat="1" ht="26" customHeight="1">
      <c r="A342" s="114">
        <v>2</v>
      </c>
      <c r="B342" s="114">
        <v>3</v>
      </c>
      <c r="C342" s="58" t="s">
        <v>387</v>
      </c>
      <c r="D342" s="58" t="s">
        <v>3094</v>
      </c>
    </row>
    <row r="343" spans="1:4" s="115" customFormat="1">
      <c r="A343" s="114">
        <v>2</v>
      </c>
      <c r="B343" s="114">
        <v>3</v>
      </c>
      <c r="C343" s="58" t="s">
        <v>388</v>
      </c>
      <c r="D343" s="58" t="s">
        <v>389</v>
      </c>
    </row>
    <row r="344" spans="1:4" s="115" customFormat="1" ht="29">
      <c r="A344" s="114">
        <v>2</v>
      </c>
      <c r="B344" s="114">
        <v>2</v>
      </c>
      <c r="C344" s="58" t="s">
        <v>390</v>
      </c>
      <c r="D344" s="58" t="s">
        <v>391</v>
      </c>
    </row>
    <row r="345" spans="1:4" s="115" customFormat="1">
      <c r="A345" s="114">
        <v>2</v>
      </c>
      <c r="B345" s="114">
        <v>3</v>
      </c>
      <c r="C345" s="58" t="s">
        <v>392</v>
      </c>
      <c r="D345" s="58" t="s">
        <v>393</v>
      </c>
    </row>
    <row r="346" spans="1:4" s="115" customFormat="1">
      <c r="A346" s="114">
        <v>2</v>
      </c>
      <c r="B346" s="114">
        <v>3</v>
      </c>
      <c r="C346" s="58" t="s">
        <v>394</v>
      </c>
      <c r="D346" s="58" t="s">
        <v>395</v>
      </c>
    </row>
    <row r="347" spans="1:4" s="115" customFormat="1" ht="29">
      <c r="A347" s="114">
        <v>2</v>
      </c>
      <c r="B347" s="114">
        <v>3</v>
      </c>
      <c r="C347" s="58" t="s">
        <v>396</v>
      </c>
      <c r="D347" s="58" t="s">
        <v>2363</v>
      </c>
    </row>
    <row r="348" spans="1:4" s="115" customFormat="1" ht="29">
      <c r="A348" s="114">
        <v>2</v>
      </c>
      <c r="B348" s="114">
        <v>2</v>
      </c>
      <c r="C348" s="58" t="s">
        <v>2364</v>
      </c>
      <c r="D348" s="58" t="s">
        <v>397</v>
      </c>
    </row>
    <row r="349" spans="1:4" s="115" customFormat="1">
      <c r="A349" s="114">
        <v>2</v>
      </c>
      <c r="B349" s="114">
        <v>3</v>
      </c>
      <c r="C349" s="58" t="s">
        <v>398</v>
      </c>
      <c r="D349" s="58" t="s">
        <v>2120</v>
      </c>
    </row>
    <row r="350" spans="1:4" s="115" customFormat="1" ht="24.5" customHeight="1">
      <c r="A350" s="114">
        <v>2</v>
      </c>
      <c r="B350" s="114">
        <v>3</v>
      </c>
      <c r="C350" s="58" t="s">
        <v>399</v>
      </c>
      <c r="D350" s="58" t="s">
        <v>2365</v>
      </c>
    </row>
    <row r="351" spans="1:4" s="115" customFormat="1" ht="29">
      <c r="A351" s="114">
        <v>2</v>
      </c>
      <c r="B351" s="114">
        <v>3</v>
      </c>
      <c r="C351" s="58" t="s">
        <v>400</v>
      </c>
      <c r="D351" s="58" t="s">
        <v>626</v>
      </c>
    </row>
    <row r="352" spans="1:4" s="115" customFormat="1" ht="19.5" customHeight="1">
      <c r="A352" s="114">
        <v>2</v>
      </c>
      <c r="B352" s="114">
        <v>2</v>
      </c>
      <c r="C352" s="58" t="s">
        <v>401</v>
      </c>
      <c r="D352" s="58" t="s">
        <v>2366</v>
      </c>
    </row>
    <row r="353" spans="1:4" s="115" customFormat="1">
      <c r="A353" s="114">
        <v>2</v>
      </c>
      <c r="B353" s="114">
        <v>3</v>
      </c>
      <c r="C353" s="58" t="s">
        <v>402</v>
      </c>
      <c r="D353" s="58" t="s">
        <v>32</v>
      </c>
    </row>
    <row r="354" spans="1:4" s="115" customFormat="1" ht="29">
      <c r="A354" s="114">
        <v>2</v>
      </c>
      <c r="B354" s="114">
        <v>3</v>
      </c>
      <c r="C354" s="58" t="s">
        <v>403</v>
      </c>
      <c r="D354" s="58" t="s">
        <v>1289</v>
      </c>
    </row>
    <row r="355" spans="1:4" s="115" customFormat="1" ht="29">
      <c r="A355" s="114">
        <v>2</v>
      </c>
      <c r="B355" s="114">
        <v>3</v>
      </c>
      <c r="C355" s="58" t="s">
        <v>404</v>
      </c>
      <c r="D355" s="58" t="s">
        <v>405</v>
      </c>
    </row>
    <row r="356" spans="1:4" s="115" customFormat="1">
      <c r="A356" s="114">
        <v>2</v>
      </c>
      <c r="B356" s="114">
        <v>2</v>
      </c>
      <c r="C356" s="58" t="s">
        <v>2367</v>
      </c>
      <c r="D356" s="58" t="s">
        <v>406</v>
      </c>
    </row>
    <row r="357" spans="1:4" s="115" customFormat="1">
      <c r="A357" s="114">
        <v>2</v>
      </c>
      <c r="B357" s="114">
        <v>3</v>
      </c>
      <c r="C357" s="58" t="s">
        <v>2368</v>
      </c>
      <c r="D357" s="58" t="s">
        <v>2369</v>
      </c>
    </row>
    <row r="358" spans="1:4" s="115" customFormat="1">
      <c r="A358" s="114">
        <v>2</v>
      </c>
      <c r="B358" s="114">
        <v>3</v>
      </c>
      <c r="C358" s="58" t="s">
        <v>2370</v>
      </c>
      <c r="D358" s="58" t="s">
        <v>2371</v>
      </c>
    </row>
    <row r="359" spans="1:4" s="115" customFormat="1">
      <c r="A359" s="114">
        <v>2</v>
      </c>
      <c r="B359" s="114">
        <v>3</v>
      </c>
      <c r="C359" s="58" t="s">
        <v>2372</v>
      </c>
      <c r="D359" s="58" t="s">
        <v>2373</v>
      </c>
    </row>
    <row r="360" spans="1:4" s="115" customFormat="1" ht="29">
      <c r="A360" s="114">
        <v>2</v>
      </c>
      <c r="B360" s="114">
        <v>2</v>
      </c>
      <c r="C360" s="58" t="s">
        <v>2374</v>
      </c>
      <c r="D360" s="58" t="s">
        <v>407</v>
      </c>
    </row>
    <row r="361" spans="1:4" s="115" customFormat="1" ht="29">
      <c r="A361" s="114">
        <v>2</v>
      </c>
      <c r="B361" s="114">
        <v>3</v>
      </c>
      <c r="C361" s="58" t="s">
        <v>408</v>
      </c>
      <c r="D361" s="58" t="s">
        <v>2375</v>
      </c>
    </row>
    <row r="362" spans="1:4" s="115" customFormat="1">
      <c r="A362" s="114">
        <v>2</v>
      </c>
      <c r="B362" s="114">
        <v>3</v>
      </c>
      <c r="C362" s="58" t="s">
        <v>409</v>
      </c>
      <c r="D362" s="58" t="s">
        <v>410</v>
      </c>
    </row>
    <row r="363" spans="1:4" s="115" customFormat="1">
      <c r="A363" s="114">
        <v>2</v>
      </c>
      <c r="B363" s="114">
        <v>3</v>
      </c>
      <c r="C363" s="58" t="s">
        <v>411</v>
      </c>
      <c r="D363" s="58" t="s">
        <v>412</v>
      </c>
    </row>
    <row r="364" spans="1:4" s="115" customFormat="1" ht="23" customHeight="1">
      <c r="A364" s="114">
        <v>2</v>
      </c>
      <c r="B364" s="114">
        <v>3</v>
      </c>
      <c r="C364" s="58" t="s">
        <v>413</v>
      </c>
      <c r="D364" s="58" t="s">
        <v>414</v>
      </c>
    </row>
    <row r="365" spans="1:4" s="115" customFormat="1" ht="29">
      <c r="A365" s="114">
        <v>2</v>
      </c>
      <c r="B365" s="114">
        <v>3</v>
      </c>
      <c r="C365" s="58" t="s">
        <v>2376</v>
      </c>
      <c r="D365" s="58" t="s">
        <v>415</v>
      </c>
    </row>
    <row r="366" spans="1:4" s="115" customFormat="1">
      <c r="A366" s="114">
        <v>2</v>
      </c>
      <c r="B366" s="114">
        <v>4</v>
      </c>
      <c r="C366" s="58" t="s">
        <v>416</v>
      </c>
      <c r="D366" s="58" t="s">
        <v>2377</v>
      </c>
    </row>
    <row r="367" spans="1:4" s="115" customFormat="1" ht="21.5" customHeight="1">
      <c r="A367" s="114">
        <v>2</v>
      </c>
      <c r="B367" s="114">
        <v>4</v>
      </c>
      <c r="C367" s="58" t="s">
        <v>417</v>
      </c>
      <c r="D367" s="58" t="s">
        <v>1290</v>
      </c>
    </row>
    <row r="368" spans="1:4" s="115" customFormat="1" ht="48.5" customHeight="1">
      <c r="A368" s="114">
        <v>2</v>
      </c>
      <c r="B368" s="114">
        <v>1</v>
      </c>
      <c r="C368" s="58" t="s">
        <v>418</v>
      </c>
      <c r="D368" s="58" t="s">
        <v>2378</v>
      </c>
    </row>
    <row r="369" spans="1:4" s="115" customFormat="1" ht="29">
      <c r="A369" s="114">
        <v>2</v>
      </c>
      <c r="B369" s="114">
        <v>2</v>
      </c>
      <c r="C369" s="58" t="s">
        <v>419</v>
      </c>
      <c r="D369" s="58" t="s">
        <v>2379</v>
      </c>
    </row>
    <row r="370" spans="1:4" s="115" customFormat="1" ht="43.5">
      <c r="A370" s="114">
        <v>2</v>
      </c>
      <c r="B370" s="114">
        <v>2</v>
      </c>
      <c r="C370" s="58" t="s">
        <v>2380</v>
      </c>
      <c r="D370" s="58" t="s">
        <v>420</v>
      </c>
    </row>
    <row r="371" spans="1:4" s="115" customFormat="1">
      <c r="A371" s="114">
        <v>2</v>
      </c>
      <c r="B371" s="114">
        <v>3</v>
      </c>
      <c r="C371" s="58" t="s">
        <v>421</v>
      </c>
      <c r="D371" s="58" t="s">
        <v>422</v>
      </c>
    </row>
    <row r="372" spans="1:4" s="115" customFormat="1" ht="29">
      <c r="A372" s="114">
        <v>2</v>
      </c>
      <c r="B372" s="114">
        <v>3</v>
      </c>
      <c r="C372" s="58" t="s">
        <v>423</v>
      </c>
      <c r="D372" s="58" t="s">
        <v>2381</v>
      </c>
    </row>
    <row r="373" spans="1:4" s="115" customFormat="1" ht="29">
      <c r="A373" s="114">
        <v>2</v>
      </c>
      <c r="B373" s="114">
        <v>3</v>
      </c>
      <c r="C373" s="58" t="s">
        <v>424</v>
      </c>
      <c r="D373" s="58" t="s">
        <v>2121</v>
      </c>
    </row>
    <row r="374" spans="1:4" s="115" customFormat="1" ht="29">
      <c r="A374" s="114">
        <v>2</v>
      </c>
      <c r="B374" s="114">
        <v>2</v>
      </c>
      <c r="C374" s="58" t="s">
        <v>425</v>
      </c>
      <c r="D374" s="58" t="s">
        <v>426</v>
      </c>
    </row>
    <row r="375" spans="1:4" s="115" customFormat="1">
      <c r="A375" s="114">
        <v>2</v>
      </c>
      <c r="B375" s="114">
        <v>3</v>
      </c>
      <c r="C375" s="58" t="s">
        <v>427</v>
      </c>
      <c r="D375" s="58" t="s">
        <v>428</v>
      </c>
    </row>
    <row r="376" spans="1:4" s="115" customFormat="1">
      <c r="A376" s="114">
        <v>2</v>
      </c>
      <c r="B376" s="114">
        <v>3</v>
      </c>
      <c r="C376" s="58" t="s">
        <v>429</v>
      </c>
      <c r="D376" s="58" t="s">
        <v>430</v>
      </c>
    </row>
    <row r="377" spans="1:4" s="115" customFormat="1" ht="29">
      <c r="A377" s="114">
        <v>2</v>
      </c>
      <c r="B377" s="114">
        <v>3</v>
      </c>
      <c r="C377" s="58" t="s">
        <v>431</v>
      </c>
      <c r="D377" s="58" t="s">
        <v>2382</v>
      </c>
    </row>
    <row r="378" spans="1:4" s="115" customFormat="1" ht="37" customHeight="1">
      <c r="A378" s="114">
        <v>2</v>
      </c>
      <c r="B378" s="114">
        <v>2</v>
      </c>
      <c r="C378" s="58" t="s">
        <v>1291</v>
      </c>
      <c r="D378" s="58" t="s">
        <v>432</v>
      </c>
    </row>
    <row r="379" spans="1:4" s="115" customFormat="1">
      <c r="A379" s="114">
        <v>2</v>
      </c>
      <c r="B379" s="114">
        <v>3</v>
      </c>
      <c r="C379" s="58" t="s">
        <v>433</v>
      </c>
      <c r="D379" s="58" t="s">
        <v>2383</v>
      </c>
    </row>
    <row r="380" spans="1:4" s="115" customFormat="1" ht="29">
      <c r="A380" s="114">
        <v>2</v>
      </c>
      <c r="B380" s="114">
        <v>3</v>
      </c>
      <c r="C380" s="58" t="s">
        <v>434</v>
      </c>
      <c r="D380" s="58" t="s">
        <v>2384</v>
      </c>
    </row>
    <row r="381" spans="1:4" s="115" customFormat="1" ht="29">
      <c r="A381" s="114">
        <v>2</v>
      </c>
      <c r="B381" s="114">
        <v>3</v>
      </c>
      <c r="C381" s="58" t="s">
        <v>435</v>
      </c>
      <c r="D381" s="58" t="s">
        <v>2385</v>
      </c>
    </row>
    <row r="382" spans="1:4" s="115" customFormat="1" ht="38" customHeight="1">
      <c r="A382" s="114">
        <v>2</v>
      </c>
      <c r="B382" s="114">
        <v>2</v>
      </c>
      <c r="C382" s="58" t="s">
        <v>436</v>
      </c>
      <c r="D382" s="58" t="s">
        <v>1423</v>
      </c>
    </row>
    <row r="383" spans="1:4" s="115" customFormat="1" ht="29">
      <c r="A383" s="114">
        <v>2</v>
      </c>
      <c r="B383" s="114">
        <v>3</v>
      </c>
      <c r="C383" s="58" t="s">
        <v>437</v>
      </c>
      <c r="D383" s="58" t="s">
        <v>3096</v>
      </c>
    </row>
    <row r="384" spans="1:4" s="115" customFormat="1" ht="29">
      <c r="A384" s="114">
        <v>2</v>
      </c>
      <c r="B384" s="114">
        <v>3</v>
      </c>
      <c r="C384" s="58" t="s">
        <v>2716</v>
      </c>
      <c r="D384" s="58" t="s">
        <v>438</v>
      </c>
    </row>
    <row r="385" spans="1:4" s="115" customFormat="1">
      <c r="A385" s="114">
        <v>2</v>
      </c>
      <c r="B385" s="114">
        <v>2</v>
      </c>
      <c r="C385" s="58" t="s">
        <v>439</v>
      </c>
      <c r="D385" s="58" t="s">
        <v>440</v>
      </c>
    </row>
    <row r="386" spans="1:4" s="115" customFormat="1">
      <c r="A386" s="114">
        <v>2</v>
      </c>
      <c r="B386" s="114">
        <v>3</v>
      </c>
      <c r="C386" s="58" t="s">
        <v>1888</v>
      </c>
      <c r="D386" s="58" t="s">
        <v>441</v>
      </c>
    </row>
    <row r="387" spans="1:4" s="119" customFormat="1">
      <c r="A387" s="114">
        <v>2</v>
      </c>
      <c r="B387" s="114">
        <v>3</v>
      </c>
      <c r="C387" s="58" t="s">
        <v>1889</v>
      </c>
      <c r="D387" s="58" t="s">
        <v>442</v>
      </c>
    </row>
    <row r="388" spans="1:4" s="119" customFormat="1">
      <c r="A388" s="114">
        <v>2</v>
      </c>
      <c r="B388" s="114">
        <v>3</v>
      </c>
      <c r="C388" s="58" t="s">
        <v>1890</v>
      </c>
      <c r="D388" s="58" t="s">
        <v>443</v>
      </c>
    </row>
    <row r="389" spans="1:4" s="119" customFormat="1">
      <c r="A389" s="114">
        <v>2</v>
      </c>
      <c r="B389" s="114">
        <v>3</v>
      </c>
      <c r="C389" s="58" t="s">
        <v>1891</v>
      </c>
      <c r="D389" s="58" t="s">
        <v>444</v>
      </c>
    </row>
    <row r="390" spans="1:4" s="119" customFormat="1">
      <c r="A390" s="114">
        <v>2</v>
      </c>
      <c r="B390" s="114">
        <v>3</v>
      </c>
      <c r="C390" s="58" t="s">
        <v>1892</v>
      </c>
      <c r="D390" s="58" t="s">
        <v>1292</v>
      </c>
    </row>
    <row r="391" spans="1:4" s="119" customFormat="1" ht="29">
      <c r="A391" s="114">
        <v>2</v>
      </c>
      <c r="B391" s="114">
        <v>3</v>
      </c>
      <c r="C391" s="58" t="s">
        <v>1893</v>
      </c>
      <c r="D391" s="58" t="s">
        <v>1293</v>
      </c>
    </row>
    <row r="392" spans="1:4" s="119" customFormat="1" ht="23" customHeight="1">
      <c r="A392" s="114">
        <v>2</v>
      </c>
      <c r="B392" s="114">
        <v>3</v>
      </c>
      <c r="C392" s="58" t="s">
        <v>1894</v>
      </c>
      <c r="D392" s="58" t="s">
        <v>1294</v>
      </c>
    </row>
    <row r="393" spans="1:4" s="119" customFormat="1" ht="29">
      <c r="A393" s="114">
        <v>2</v>
      </c>
      <c r="B393" s="114">
        <v>3</v>
      </c>
      <c r="C393" s="58" t="s">
        <v>1895</v>
      </c>
      <c r="D393" s="58" t="s">
        <v>1295</v>
      </c>
    </row>
    <row r="394" spans="1:4" s="119" customFormat="1">
      <c r="A394" s="114">
        <v>2</v>
      </c>
      <c r="B394" s="114">
        <v>3</v>
      </c>
      <c r="C394" s="58" t="s">
        <v>1896</v>
      </c>
      <c r="D394" s="58" t="s">
        <v>445</v>
      </c>
    </row>
    <row r="395" spans="1:4" s="119" customFormat="1" ht="29">
      <c r="A395" s="114">
        <v>2</v>
      </c>
      <c r="B395" s="114">
        <v>3</v>
      </c>
      <c r="C395" s="58" t="s">
        <v>1897</v>
      </c>
      <c r="D395" s="58" t="s">
        <v>1793</v>
      </c>
    </row>
    <row r="396" spans="1:4" s="119" customFormat="1">
      <c r="A396" s="114">
        <v>2</v>
      </c>
      <c r="B396" s="114">
        <v>3</v>
      </c>
      <c r="C396" s="58" t="s">
        <v>2386</v>
      </c>
      <c r="D396" s="58" t="s">
        <v>2387</v>
      </c>
    </row>
    <row r="397" spans="1:4" s="119" customFormat="1" ht="29">
      <c r="A397" s="114">
        <v>2</v>
      </c>
      <c r="B397" s="114">
        <v>2</v>
      </c>
      <c r="C397" s="58" t="s">
        <v>446</v>
      </c>
      <c r="D397" s="58" t="s">
        <v>2388</v>
      </c>
    </row>
    <row r="398" spans="1:4" s="119" customFormat="1" ht="22.5" customHeight="1">
      <c r="A398" s="114">
        <v>2</v>
      </c>
      <c r="B398" s="114">
        <v>3</v>
      </c>
      <c r="C398" s="58" t="s">
        <v>447</v>
      </c>
      <c r="D398" s="58" t="s">
        <v>448</v>
      </c>
    </row>
    <row r="399" spans="1:4" s="119" customFormat="1">
      <c r="A399" s="114">
        <v>2</v>
      </c>
      <c r="B399" s="114">
        <v>3</v>
      </c>
      <c r="C399" s="58" t="s">
        <v>449</v>
      </c>
      <c r="D399" s="58" t="s">
        <v>2389</v>
      </c>
    </row>
    <row r="400" spans="1:4" s="119" customFormat="1">
      <c r="A400" s="114">
        <v>2</v>
      </c>
      <c r="B400" s="114">
        <v>3</v>
      </c>
      <c r="C400" s="58" t="s">
        <v>450</v>
      </c>
      <c r="D400" s="58" t="s">
        <v>451</v>
      </c>
    </row>
    <row r="401" spans="1:4" s="119" customFormat="1" ht="29">
      <c r="A401" s="114">
        <v>2</v>
      </c>
      <c r="B401" s="114">
        <v>3</v>
      </c>
      <c r="C401" s="58" t="s">
        <v>2390</v>
      </c>
      <c r="D401" s="58" t="s">
        <v>452</v>
      </c>
    </row>
    <row r="402" spans="1:4" s="119" customFormat="1" ht="29">
      <c r="A402" s="114">
        <v>2</v>
      </c>
      <c r="B402" s="114">
        <v>3</v>
      </c>
      <c r="C402" s="58" t="s">
        <v>2391</v>
      </c>
      <c r="D402" s="58" t="s">
        <v>2392</v>
      </c>
    </row>
    <row r="403" spans="1:4" s="119" customFormat="1" ht="48.5" customHeight="1">
      <c r="A403" s="114">
        <v>2</v>
      </c>
      <c r="B403" s="114">
        <v>1</v>
      </c>
      <c r="C403" s="58" t="s">
        <v>2393</v>
      </c>
      <c r="D403" s="58" t="s">
        <v>3097</v>
      </c>
    </row>
    <row r="404" spans="1:4" s="119" customFormat="1" ht="23.5" customHeight="1">
      <c r="A404" s="114">
        <v>2</v>
      </c>
      <c r="B404" s="114">
        <v>2</v>
      </c>
      <c r="C404" s="58" t="s">
        <v>453</v>
      </c>
      <c r="D404" s="58" t="s">
        <v>2992</v>
      </c>
    </row>
    <row r="405" spans="1:4" s="119" customFormat="1" ht="29">
      <c r="A405" s="114">
        <v>2</v>
      </c>
      <c r="B405" s="114">
        <v>2</v>
      </c>
      <c r="C405" s="58" t="s">
        <v>454</v>
      </c>
      <c r="D405" s="58" t="s">
        <v>455</v>
      </c>
    </row>
    <row r="406" spans="1:4" s="119" customFormat="1" ht="43.5">
      <c r="A406" s="114">
        <v>2</v>
      </c>
      <c r="B406" s="114">
        <v>2</v>
      </c>
      <c r="C406" s="58" t="s">
        <v>2394</v>
      </c>
      <c r="D406" s="58" t="s">
        <v>456</v>
      </c>
    </row>
    <row r="407" spans="1:4" s="119" customFormat="1">
      <c r="A407" s="114">
        <v>2</v>
      </c>
      <c r="B407" s="114">
        <v>3</v>
      </c>
      <c r="C407" s="58" t="s">
        <v>457</v>
      </c>
      <c r="D407" s="58" t="s">
        <v>458</v>
      </c>
    </row>
    <row r="408" spans="1:4" s="119" customFormat="1" ht="29">
      <c r="A408" s="114">
        <v>2</v>
      </c>
      <c r="B408" s="114">
        <v>3</v>
      </c>
      <c r="C408" s="58" t="s">
        <v>459</v>
      </c>
      <c r="D408" s="58" t="s">
        <v>460</v>
      </c>
    </row>
    <row r="409" spans="1:4" s="119" customFormat="1">
      <c r="A409" s="114">
        <v>2</v>
      </c>
      <c r="B409" s="114">
        <v>3</v>
      </c>
      <c r="C409" s="58" t="s">
        <v>461</v>
      </c>
      <c r="D409" s="58" t="s">
        <v>462</v>
      </c>
    </row>
    <row r="410" spans="1:4" s="119" customFormat="1" ht="29">
      <c r="A410" s="114">
        <v>2</v>
      </c>
      <c r="B410" s="114">
        <v>2</v>
      </c>
      <c r="C410" s="58" t="s">
        <v>463</v>
      </c>
      <c r="D410" s="58" t="s">
        <v>1424</v>
      </c>
    </row>
    <row r="411" spans="1:4" s="119" customFormat="1">
      <c r="A411" s="114">
        <v>2</v>
      </c>
      <c r="B411" s="114">
        <v>3</v>
      </c>
      <c r="C411" s="58" t="s">
        <v>464</v>
      </c>
      <c r="D411" s="58" t="s">
        <v>465</v>
      </c>
    </row>
    <row r="412" spans="1:4" s="119" customFormat="1">
      <c r="A412" s="114">
        <v>2</v>
      </c>
      <c r="B412" s="114">
        <v>3</v>
      </c>
      <c r="C412" s="58" t="s">
        <v>466</v>
      </c>
      <c r="D412" s="58" t="s">
        <v>467</v>
      </c>
    </row>
    <row r="413" spans="1:4" s="119" customFormat="1" ht="21" customHeight="1">
      <c r="A413" s="114">
        <v>2</v>
      </c>
      <c r="B413" s="114">
        <v>3</v>
      </c>
      <c r="C413" s="58" t="s">
        <v>468</v>
      </c>
      <c r="D413" s="58" t="s">
        <v>2395</v>
      </c>
    </row>
    <row r="414" spans="1:4" s="119" customFormat="1" ht="36.5" customHeight="1">
      <c r="A414" s="114">
        <v>2</v>
      </c>
      <c r="B414" s="114">
        <v>2</v>
      </c>
      <c r="C414" s="58" t="s">
        <v>469</v>
      </c>
      <c r="D414" s="58" t="s">
        <v>470</v>
      </c>
    </row>
    <row r="415" spans="1:4" s="119" customFormat="1" ht="21.5" customHeight="1">
      <c r="A415" s="114">
        <v>2</v>
      </c>
      <c r="B415" s="114">
        <v>3</v>
      </c>
      <c r="C415" s="58" t="s">
        <v>471</v>
      </c>
      <c r="D415" s="58" t="s">
        <v>2396</v>
      </c>
    </row>
    <row r="416" spans="1:4" s="119" customFormat="1" ht="29">
      <c r="A416" s="114">
        <v>2</v>
      </c>
      <c r="B416" s="114">
        <v>3</v>
      </c>
      <c r="C416" s="58" t="s">
        <v>472</v>
      </c>
      <c r="D416" s="58" t="s">
        <v>2397</v>
      </c>
    </row>
    <row r="417" spans="1:4" s="119" customFormat="1" ht="29">
      <c r="A417" s="114">
        <v>2</v>
      </c>
      <c r="B417" s="114">
        <v>3</v>
      </c>
      <c r="C417" s="58" t="s">
        <v>473</v>
      </c>
      <c r="D417" s="58" t="s">
        <v>2398</v>
      </c>
    </row>
    <row r="418" spans="1:4" s="119" customFormat="1" ht="29">
      <c r="A418" s="114">
        <v>2</v>
      </c>
      <c r="B418" s="114">
        <v>2</v>
      </c>
      <c r="C418" s="58" t="s">
        <v>2718</v>
      </c>
      <c r="D418" s="58" t="s">
        <v>1296</v>
      </c>
    </row>
    <row r="419" spans="1:4" s="119" customFormat="1">
      <c r="A419" s="114">
        <v>2</v>
      </c>
      <c r="B419" s="114">
        <v>2</v>
      </c>
      <c r="C419" s="58" t="s">
        <v>2399</v>
      </c>
      <c r="D419" s="58" t="s">
        <v>1297</v>
      </c>
    </row>
    <row r="420" spans="1:4" s="119" customFormat="1">
      <c r="A420" s="114">
        <v>2</v>
      </c>
      <c r="B420" s="114">
        <v>3</v>
      </c>
      <c r="C420" s="58" t="s">
        <v>1898</v>
      </c>
      <c r="D420" s="58" t="s">
        <v>474</v>
      </c>
    </row>
    <row r="421" spans="1:4" s="119" customFormat="1" ht="29">
      <c r="A421" s="114">
        <v>2</v>
      </c>
      <c r="B421" s="114">
        <v>3</v>
      </c>
      <c r="C421" s="58" t="s">
        <v>1899</v>
      </c>
      <c r="D421" s="58" t="s">
        <v>2400</v>
      </c>
    </row>
    <row r="422" spans="1:4" s="119" customFormat="1" ht="29">
      <c r="A422" s="114">
        <v>2</v>
      </c>
      <c r="B422" s="114">
        <v>3</v>
      </c>
      <c r="C422" s="58" t="s">
        <v>1900</v>
      </c>
      <c r="D422" s="58" t="s">
        <v>1298</v>
      </c>
    </row>
    <row r="423" spans="1:4" s="119" customFormat="1" ht="29">
      <c r="A423" s="114">
        <v>2</v>
      </c>
      <c r="B423" s="114">
        <v>3</v>
      </c>
      <c r="C423" s="58" t="s">
        <v>1901</v>
      </c>
      <c r="D423" s="58" t="s">
        <v>1299</v>
      </c>
    </row>
    <row r="424" spans="1:4" s="119" customFormat="1" ht="29">
      <c r="A424" s="114">
        <v>2</v>
      </c>
      <c r="B424" s="114">
        <v>3</v>
      </c>
      <c r="C424" s="58" t="s">
        <v>1902</v>
      </c>
      <c r="D424" s="58" t="s">
        <v>2401</v>
      </c>
    </row>
    <row r="425" spans="1:4" s="119" customFormat="1">
      <c r="A425" s="114">
        <v>2</v>
      </c>
      <c r="B425" s="114">
        <v>3</v>
      </c>
      <c r="C425" s="58" t="s">
        <v>1903</v>
      </c>
      <c r="D425" s="58" t="s">
        <v>1300</v>
      </c>
    </row>
    <row r="426" spans="1:4" s="119" customFormat="1">
      <c r="A426" s="114">
        <v>2</v>
      </c>
      <c r="B426" s="114">
        <v>3</v>
      </c>
      <c r="C426" s="58" t="s">
        <v>1904</v>
      </c>
      <c r="D426" s="58" t="s">
        <v>1301</v>
      </c>
    </row>
    <row r="427" spans="1:4" s="119" customFormat="1" ht="29">
      <c r="A427" s="114">
        <v>2</v>
      </c>
      <c r="B427" s="114">
        <v>3</v>
      </c>
      <c r="C427" s="58" t="s">
        <v>1905</v>
      </c>
      <c r="D427" s="58" t="s">
        <v>2402</v>
      </c>
    </row>
    <row r="428" spans="1:4" s="119" customFormat="1">
      <c r="A428" s="114">
        <v>2</v>
      </c>
      <c r="B428" s="114">
        <v>3</v>
      </c>
      <c r="C428" s="58" t="s">
        <v>1906</v>
      </c>
      <c r="D428" s="58" t="s">
        <v>2403</v>
      </c>
    </row>
    <row r="429" spans="1:4" s="119" customFormat="1">
      <c r="A429" s="114">
        <v>2</v>
      </c>
      <c r="B429" s="114">
        <v>3</v>
      </c>
      <c r="C429" s="58" t="s">
        <v>2404</v>
      </c>
      <c r="D429" s="58" t="s">
        <v>2405</v>
      </c>
    </row>
    <row r="430" spans="1:4" s="119" customFormat="1" ht="29">
      <c r="A430" s="114">
        <v>2</v>
      </c>
      <c r="B430" s="114">
        <v>2</v>
      </c>
      <c r="C430" s="58" t="s">
        <v>2406</v>
      </c>
      <c r="D430" s="58" t="s">
        <v>475</v>
      </c>
    </row>
    <row r="431" spans="1:4" s="119" customFormat="1" ht="22.5" customHeight="1">
      <c r="A431" s="114">
        <v>2</v>
      </c>
      <c r="B431" s="114">
        <v>3</v>
      </c>
      <c r="C431" s="58" t="s">
        <v>476</v>
      </c>
      <c r="D431" s="58" t="s">
        <v>1302</v>
      </c>
    </row>
    <row r="432" spans="1:4" s="119" customFormat="1">
      <c r="A432" s="114">
        <v>2</v>
      </c>
      <c r="B432" s="114">
        <v>3</v>
      </c>
      <c r="C432" s="58" t="s">
        <v>477</v>
      </c>
      <c r="D432" s="58" t="s">
        <v>2407</v>
      </c>
    </row>
    <row r="433" spans="1:4" s="119" customFormat="1">
      <c r="A433" s="114">
        <v>2</v>
      </c>
      <c r="B433" s="114">
        <v>3</v>
      </c>
      <c r="C433" s="58" t="s">
        <v>478</v>
      </c>
      <c r="D433" s="58" t="s">
        <v>479</v>
      </c>
    </row>
    <row r="434" spans="1:4" s="119" customFormat="1" ht="29">
      <c r="A434" s="114">
        <v>2</v>
      </c>
      <c r="B434" s="114">
        <v>3</v>
      </c>
      <c r="C434" s="58" t="s">
        <v>480</v>
      </c>
      <c r="D434" s="58" t="s">
        <v>481</v>
      </c>
    </row>
    <row r="435" spans="1:4" s="119" customFormat="1" ht="43.5">
      <c r="A435" s="114">
        <v>2</v>
      </c>
      <c r="B435" s="114">
        <v>3</v>
      </c>
      <c r="C435" s="58" t="s">
        <v>482</v>
      </c>
      <c r="D435" s="58" t="s">
        <v>2408</v>
      </c>
    </row>
    <row r="436" spans="1:4" s="119" customFormat="1" ht="29">
      <c r="A436" s="114">
        <v>2</v>
      </c>
      <c r="B436" s="114">
        <v>1</v>
      </c>
      <c r="C436" s="58" t="s">
        <v>483</v>
      </c>
      <c r="D436" s="58" t="s">
        <v>2709</v>
      </c>
    </row>
    <row r="437" spans="1:4" s="119" customFormat="1">
      <c r="A437" s="114">
        <v>2</v>
      </c>
      <c r="B437" s="114">
        <v>2</v>
      </c>
      <c r="C437" s="58" t="s">
        <v>484</v>
      </c>
      <c r="D437" s="58" t="s">
        <v>485</v>
      </c>
    </row>
    <row r="438" spans="1:4" s="119" customFormat="1" ht="29">
      <c r="A438" s="114">
        <v>2</v>
      </c>
      <c r="B438" s="114">
        <v>2</v>
      </c>
      <c r="C438" s="58" t="s">
        <v>486</v>
      </c>
      <c r="D438" s="58" t="s">
        <v>1907</v>
      </c>
    </row>
    <row r="439" spans="1:4" s="94" customFormat="1">
      <c r="A439" s="114">
        <v>2</v>
      </c>
      <c r="B439" s="114">
        <v>2</v>
      </c>
      <c r="C439" s="58" t="s">
        <v>2409</v>
      </c>
      <c r="D439" s="58" t="s">
        <v>487</v>
      </c>
    </row>
    <row r="440" spans="1:4" s="94" customFormat="1">
      <c r="A440" s="114">
        <v>2</v>
      </c>
      <c r="B440" s="114">
        <v>3</v>
      </c>
      <c r="C440" s="58" t="s">
        <v>488</v>
      </c>
      <c r="D440" s="58" t="s">
        <v>489</v>
      </c>
    </row>
    <row r="441" spans="1:4" s="94" customFormat="1">
      <c r="A441" s="114">
        <v>2</v>
      </c>
      <c r="B441" s="114">
        <v>3</v>
      </c>
      <c r="C441" s="58" t="s">
        <v>490</v>
      </c>
      <c r="D441" s="58" t="s">
        <v>491</v>
      </c>
    </row>
    <row r="442" spans="1:4" s="94" customFormat="1">
      <c r="A442" s="114">
        <v>2</v>
      </c>
      <c r="B442" s="114">
        <v>3</v>
      </c>
      <c r="C442" s="58" t="s">
        <v>492</v>
      </c>
      <c r="D442" s="58" t="s">
        <v>2410</v>
      </c>
    </row>
    <row r="443" spans="1:4" s="94" customFormat="1">
      <c r="A443" s="114">
        <v>2</v>
      </c>
      <c r="B443" s="114">
        <v>2</v>
      </c>
      <c r="C443" s="58" t="s">
        <v>493</v>
      </c>
      <c r="D443" s="58" t="s">
        <v>494</v>
      </c>
    </row>
    <row r="444" spans="1:4" s="94" customFormat="1" ht="43.5">
      <c r="A444" s="114">
        <v>2</v>
      </c>
      <c r="B444" s="114">
        <v>3</v>
      </c>
      <c r="C444" s="58" t="s">
        <v>495</v>
      </c>
      <c r="D444" s="58" t="s">
        <v>2411</v>
      </c>
    </row>
    <row r="445" spans="1:4" s="94" customFormat="1" ht="29">
      <c r="A445" s="114">
        <v>2</v>
      </c>
      <c r="B445" s="114">
        <v>3</v>
      </c>
      <c r="C445" s="58" t="s">
        <v>496</v>
      </c>
      <c r="D445" s="58" t="s">
        <v>3098</v>
      </c>
    </row>
    <row r="446" spans="1:4" s="94" customFormat="1" ht="29">
      <c r="A446" s="114">
        <v>2</v>
      </c>
      <c r="B446" s="114">
        <v>3</v>
      </c>
      <c r="C446" s="58" t="s">
        <v>497</v>
      </c>
      <c r="D446" s="58" t="s">
        <v>3099</v>
      </c>
    </row>
    <row r="447" spans="1:4" s="94" customFormat="1">
      <c r="A447" s="114">
        <v>2</v>
      </c>
      <c r="B447" s="114">
        <v>3</v>
      </c>
      <c r="C447" s="58" t="s">
        <v>498</v>
      </c>
      <c r="D447" s="58" t="s">
        <v>499</v>
      </c>
    </row>
    <row r="448" spans="1:4" s="94" customFormat="1">
      <c r="A448" s="114">
        <v>2</v>
      </c>
      <c r="B448" s="114">
        <v>2</v>
      </c>
      <c r="C448" s="58" t="s">
        <v>500</v>
      </c>
      <c r="D448" s="58" t="s">
        <v>2122</v>
      </c>
    </row>
    <row r="449" spans="1:4" s="94" customFormat="1">
      <c r="A449" s="114">
        <v>2</v>
      </c>
      <c r="B449" s="114">
        <v>2</v>
      </c>
      <c r="C449" s="58" t="s">
        <v>501</v>
      </c>
      <c r="D449" s="58" t="s">
        <v>2412</v>
      </c>
    </row>
    <row r="450" spans="1:4" s="94" customFormat="1" ht="29">
      <c r="A450" s="114">
        <v>2</v>
      </c>
      <c r="B450" s="114">
        <v>2</v>
      </c>
      <c r="C450" s="58" t="s">
        <v>502</v>
      </c>
      <c r="D450" s="58" t="s">
        <v>3100</v>
      </c>
    </row>
    <row r="451" spans="1:4" s="94" customFormat="1">
      <c r="A451" s="114">
        <v>2</v>
      </c>
      <c r="B451" s="114">
        <v>3</v>
      </c>
      <c r="C451" s="58" t="s">
        <v>503</v>
      </c>
      <c r="D451" s="58" t="s">
        <v>2413</v>
      </c>
    </row>
    <row r="452" spans="1:4" s="94" customFormat="1">
      <c r="A452" s="114">
        <v>2</v>
      </c>
      <c r="B452" s="114">
        <v>3</v>
      </c>
      <c r="C452" s="58" t="s">
        <v>504</v>
      </c>
      <c r="D452" s="58" t="s">
        <v>2414</v>
      </c>
    </row>
    <row r="453" spans="1:4" s="94" customFormat="1" ht="20.5" customHeight="1">
      <c r="A453" s="114">
        <v>2</v>
      </c>
      <c r="B453" s="114">
        <v>3</v>
      </c>
      <c r="C453" s="58" t="s">
        <v>505</v>
      </c>
      <c r="D453" s="58" t="s">
        <v>2415</v>
      </c>
    </row>
    <row r="454" spans="1:4" s="94" customFormat="1" ht="19" customHeight="1">
      <c r="A454" s="114">
        <v>2</v>
      </c>
      <c r="B454" s="114">
        <v>2</v>
      </c>
      <c r="C454" s="58" t="s">
        <v>506</v>
      </c>
      <c r="D454" s="58" t="s">
        <v>507</v>
      </c>
    </row>
    <row r="455" spans="1:4" s="94" customFormat="1">
      <c r="A455" s="114">
        <v>2</v>
      </c>
      <c r="B455" s="114">
        <v>3</v>
      </c>
      <c r="C455" s="58" t="s">
        <v>508</v>
      </c>
      <c r="D455" s="58" t="s">
        <v>2416</v>
      </c>
    </row>
    <row r="456" spans="1:4" s="94" customFormat="1" ht="29">
      <c r="A456" s="114">
        <v>2</v>
      </c>
      <c r="B456" s="114">
        <v>3</v>
      </c>
      <c r="C456" s="58" t="s">
        <v>509</v>
      </c>
      <c r="D456" s="58" t="s">
        <v>2417</v>
      </c>
    </row>
    <row r="457" spans="1:4" s="94" customFormat="1">
      <c r="A457" s="114">
        <v>2</v>
      </c>
      <c r="B457" s="114">
        <v>2</v>
      </c>
      <c r="C457" s="58" t="s">
        <v>510</v>
      </c>
      <c r="D457" s="58" t="s">
        <v>2418</v>
      </c>
    </row>
    <row r="458" spans="1:4" s="94" customFormat="1">
      <c r="A458" s="114">
        <v>2</v>
      </c>
      <c r="B458" s="114">
        <v>3</v>
      </c>
      <c r="C458" s="58" t="s">
        <v>511</v>
      </c>
      <c r="D458" s="58" t="s">
        <v>512</v>
      </c>
    </row>
    <row r="459" spans="1:4" s="94" customFormat="1">
      <c r="A459" s="114">
        <v>2</v>
      </c>
      <c r="B459" s="114">
        <v>3</v>
      </c>
      <c r="C459" s="58" t="s">
        <v>513</v>
      </c>
      <c r="D459" s="58" t="s">
        <v>514</v>
      </c>
    </row>
    <row r="460" spans="1:4" s="94" customFormat="1" ht="29">
      <c r="A460" s="114">
        <v>2</v>
      </c>
      <c r="B460" s="114">
        <v>2</v>
      </c>
      <c r="C460" s="58" t="s">
        <v>515</v>
      </c>
      <c r="D460" s="58" t="s">
        <v>516</v>
      </c>
    </row>
    <row r="461" spans="1:4" s="94" customFormat="1">
      <c r="A461" s="114">
        <v>2</v>
      </c>
      <c r="B461" s="114">
        <v>3</v>
      </c>
      <c r="C461" s="58" t="s">
        <v>517</v>
      </c>
      <c r="D461" s="58" t="s">
        <v>518</v>
      </c>
    </row>
    <row r="462" spans="1:4" s="94" customFormat="1">
      <c r="A462" s="114">
        <v>2</v>
      </c>
      <c r="B462" s="114">
        <v>3</v>
      </c>
      <c r="C462" s="58" t="s">
        <v>519</v>
      </c>
      <c r="D462" s="58" t="s">
        <v>520</v>
      </c>
    </row>
    <row r="463" spans="1:4" s="94" customFormat="1" ht="24" customHeight="1">
      <c r="A463" s="114">
        <v>2</v>
      </c>
      <c r="B463" s="114">
        <v>3</v>
      </c>
      <c r="C463" s="58" t="s">
        <v>521</v>
      </c>
      <c r="D463" s="58" t="s">
        <v>2419</v>
      </c>
    </row>
    <row r="464" spans="1:4" s="94" customFormat="1">
      <c r="A464" s="114">
        <v>2</v>
      </c>
      <c r="B464" s="114">
        <v>2</v>
      </c>
      <c r="C464" s="58" t="s">
        <v>522</v>
      </c>
      <c r="D464" s="58" t="s">
        <v>2420</v>
      </c>
    </row>
    <row r="465" spans="1:4" s="94" customFormat="1">
      <c r="A465" s="114">
        <v>2</v>
      </c>
      <c r="B465" s="114">
        <v>3</v>
      </c>
      <c r="C465" s="58" t="s">
        <v>523</v>
      </c>
      <c r="D465" s="58" t="s">
        <v>2421</v>
      </c>
    </row>
    <row r="466" spans="1:4" s="94" customFormat="1">
      <c r="A466" s="114">
        <v>2</v>
      </c>
      <c r="B466" s="114">
        <v>3</v>
      </c>
      <c r="C466" s="58" t="s">
        <v>524</v>
      </c>
      <c r="D466" s="58" t="s">
        <v>2422</v>
      </c>
    </row>
    <row r="467" spans="1:4" s="94" customFormat="1" ht="29">
      <c r="A467" s="114">
        <v>2</v>
      </c>
      <c r="B467" s="114">
        <v>3</v>
      </c>
      <c r="C467" s="58" t="s">
        <v>525</v>
      </c>
      <c r="D467" s="58" t="s">
        <v>626</v>
      </c>
    </row>
    <row r="468" spans="1:4" s="94" customFormat="1">
      <c r="A468" s="114">
        <v>2</v>
      </c>
      <c r="B468" s="114">
        <v>2</v>
      </c>
      <c r="C468" s="58" t="s">
        <v>2423</v>
      </c>
      <c r="D468" s="58" t="s">
        <v>2424</v>
      </c>
    </row>
    <row r="469" spans="1:4" s="94" customFormat="1" ht="21.5" customHeight="1">
      <c r="A469" s="114">
        <v>2</v>
      </c>
      <c r="B469" s="114">
        <v>2</v>
      </c>
      <c r="C469" s="58" t="s">
        <v>526</v>
      </c>
      <c r="D469" s="58" t="s">
        <v>2123</v>
      </c>
    </row>
    <row r="470" spans="1:4" s="94" customFormat="1">
      <c r="A470" s="114">
        <v>2</v>
      </c>
      <c r="B470" s="114">
        <v>3</v>
      </c>
      <c r="C470" s="58" t="s">
        <v>527</v>
      </c>
      <c r="D470" s="58" t="s">
        <v>32</v>
      </c>
    </row>
    <row r="471" spans="1:4" s="94" customFormat="1" ht="29">
      <c r="A471" s="114">
        <v>2</v>
      </c>
      <c r="B471" s="114">
        <v>3</v>
      </c>
      <c r="C471" s="58" t="s">
        <v>528</v>
      </c>
      <c r="D471" s="58" t="s">
        <v>1303</v>
      </c>
    </row>
    <row r="472" spans="1:4" s="94" customFormat="1" ht="29">
      <c r="A472" s="114">
        <v>2</v>
      </c>
      <c r="B472" s="114">
        <v>3</v>
      </c>
      <c r="C472" s="58" t="s">
        <v>529</v>
      </c>
      <c r="D472" s="58" t="s">
        <v>530</v>
      </c>
    </row>
    <row r="473" spans="1:4" s="94" customFormat="1">
      <c r="A473" s="114">
        <v>2</v>
      </c>
      <c r="B473" s="114">
        <v>2</v>
      </c>
      <c r="C473" s="58" t="s">
        <v>531</v>
      </c>
      <c r="D473" s="58" t="s">
        <v>532</v>
      </c>
    </row>
    <row r="474" spans="1:4" s="94" customFormat="1">
      <c r="A474" s="114">
        <v>2</v>
      </c>
      <c r="B474" s="114">
        <v>3</v>
      </c>
      <c r="C474" s="58" t="s">
        <v>1908</v>
      </c>
      <c r="D474" s="58" t="s">
        <v>1304</v>
      </c>
    </row>
    <row r="475" spans="1:4" s="94" customFormat="1">
      <c r="A475" s="114">
        <v>2</v>
      </c>
      <c r="B475" s="114">
        <v>3</v>
      </c>
      <c r="C475" s="58" t="s">
        <v>1909</v>
      </c>
      <c r="D475" s="58" t="s">
        <v>1305</v>
      </c>
    </row>
    <row r="476" spans="1:4" s="119" customFormat="1">
      <c r="A476" s="114">
        <v>2</v>
      </c>
      <c r="B476" s="114">
        <v>3</v>
      </c>
      <c r="C476" s="58" t="s">
        <v>1910</v>
      </c>
      <c r="D476" s="58" t="s">
        <v>1794</v>
      </c>
    </row>
    <row r="477" spans="1:4" s="119" customFormat="1">
      <c r="A477" s="114">
        <v>2</v>
      </c>
      <c r="B477" s="114">
        <v>3</v>
      </c>
      <c r="C477" s="58" t="s">
        <v>1911</v>
      </c>
      <c r="D477" s="58" t="s">
        <v>2216</v>
      </c>
    </row>
    <row r="478" spans="1:4" s="118" customFormat="1">
      <c r="A478" s="114">
        <v>2</v>
      </c>
      <c r="B478" s="114">
        <v>3</v>
      </c>
      <c r="C478" s="58" t="s">
        <v>1912</v>
      </c>
      <c r="D478" s="58" t="s">
        <v>2425</v>
      </c>
    </row>
    <row r="479" spans="1:4" s="118" customFormat="1">
      <c r="A479" s="114">
        <v>2</v>
      </c>
      <c r="B479" s="114">
        <v>3</v>
      </c>
      <c r="C479" s="58" t="s">
        <v>1913</v>
      </c>
      <c r="D479" s="58" t="s">
        <v>533</v>
      </c>
    </row>
    <row r="480" spans="1:4" s="118" customFormat="1">
      <c r="A480" s="114">
        <v>2</v>
      </c>
      <c r="B480" s="114">
        <v>3</v>
      </c>
      <c r="C480" s="58" t="s">
        <v>1914</v>
      </c>
      <c r="D480" s="58" t="s">
        <v>1306</v>
      </c>
    </row>
    <row r="481" spans="1:4" s="118" customFormat="1">
      <c r="A481" s="114">
        <v>2</v>
      </c>
      <c r="B481" s="114">
        <v>3</v>
      </c>
      <c r="C481" s="58" t="s">
        <v>1915</v>
      </c>
      <c r="D481" s="58" t="s">
        <v>1307</v>
      </c>
    </row>
    <row r="482" spans="1:4" s="118" customFormat="1">
      <c r="A482" s="114">
        <v>2</v>
      </c>
      <c r="B482" s="114">
        <v>3</v>
      </c>
      <c r="C482" s="58" t="s">
        <v>2426</v>
      </c>
      <c r="D482" s="58" t="s">
        <v>2427</v>
      </c>
    </row>
    <row r="483" spans="1:4" s="118" customFormat="1" ht="29">
      <c r="A483" s="114">
        <v>2</v>
      </c>
      <c r="B483" s="114">
        <v>2</v>
      </c>
      <c r="C483" s="58" t="s">
        <v>2428</v>
      </c>
      <c r="D483" s="58" t="s">
        <v>534</v>
      </c>
    </row>
    <row r="484" spans="1:4" s="118" customFormat="1" ht="29">
      <c r="A484" s="114">
        <v>2</v>
      </c>
      <c r="B484" s="114">
        <v>3</v>
      </c>
      <c r="C484" s="58" t="s">
        <v>535</v>
      </c>
      <c r="D484" s="58" t="s">
        <v>2429</v>
      </c>
    </row>
    <row r="485" spans="1:4" s="118" customFormat="1">
      <c r="A485" s="114">
        <v>2</v>
      </c>
      <c r="B485" s="114">
        <v>3</v>
      </c>
      <c r="C485" s="58" t="s">
        <v>536</v>
      </c>
      <c r="D485" s="58" t="s">
        <v>537</v>
      </c>
    </row>
    <row r="486" spans="1:4" s="118" customFormat="1">
      <c r="A486" s="114">
        <v>2</v>
      </c>
      <c r="B486" s="114">
        <v>3</v>
      </c>
      <c r="C486" s="58" t="s">
        <v>538</v>
      </c>
      <c r="D486" s="58" t="s">
        <v>539</v>
      </c>
    </row>
    <row r="487" spans="1:4" s="118" customFormat="1">
      <c r="A487" s="114">
        <v>2</v>
      </c>
      <c r="B487" s="114">
        <v>3</v>
      </c>
      <c r="C487" s="58" t="s">
        <v>540</v>
      </c>
      <c r="D487" s="58" t="s">
        <v>541</v>
      </c>
    </row>
    <row r="488" spans="1:4" s="118" customFormat="1" ht="29">
      <c r="A488" s="114">
        <v>2</v>
      </c>
      <c r="B488" s="114">
        <v>3</v>
      </c>
      <c r="C488" s="58" t="s">
        <v>2430</v>
      </c>
      <c r="D488" s="58" t="s">
        <v>542</v>
      </c>
    </row>
    <row r="489" spans="1:4" s="118" customFormat="1">
      <c r="A489" s="114">
        <v>2</v>
      </c>
      <c r="B489" s="114">
        <v>4</v>
      </c>
      <c r="C489" s="58" t="s">
        <v>543</v>
      </c>
      <c r="D489" s="58" t="s">
        <v>2431</v>
      </c>
    </row>
    <row r="490" spans="1:4" s="118" customFormat="1">
      <c r="A490" s="114">
        <v>2</v>
      </c>
      <c r="B490" s="114">
        <v>4</v>
      </c>
      <c r="C490" s="58" t="s">
        <v>544</v>
      </c>
      <c r="D490" s="58" t="s">
        <v>545</v>
      </c>
    </row>
    <row r="491" spans="1:4" s="118" customFormat="1" ht="29">
      <c r="A491" s="114">
        <v>2</v>
      </c>
      <c r="B491" s="114">
        <v>1</v>
      </c>
      <c r="C491" s="58" t="s">
        <v>1035</v>
      </c>
      <c r="D491" s="58" t="s">
        <v>3011</v>
      </c>
    </row>
    <row r="492" spans="1:4" s="118" customFormat="1">
      <c r="A492" s="116">
        <v>2</v>
      </c>
      <c r="B492" s="116">
        <v>2</v>
      </c>
      <c r="C492" s="117" t="s">
        <v>2950</v>
      </c>
      <c r="D492" s="117" t="s">
        <v>2951</v>
      </c>
    </row>
    <row r="493" spans="1:4" s="118" customFormat="1" ht="29">
      <c r="A493" s="114">
        <v>2</v>
      </c>
      <c r="B493" s="114">
        <v>2</v>
      </c>
      <c r="C493" s="58" t="s">
        <v>1048</v>
      </c>
      <c r="D493" s="58" t="s">
        <v>1049</v>
      </c>
    </row>
    <row r="494" spans="1:4" s="118" customFormat="1" ht="29">
      <c r="A494" s="114">
        <v>2</v>
      </c>
      <c r="B494" s="114">
        <v>2</v>
      </c>
      <c r="C494" s="58" t="s">
        <v>1053</v>
      </c>
      <c r="D494" s="58" t="s">
        <v>1054</v>
      </c>
    </row>
    <row r="495" spans="1:4" s="119" customFormat="1" ht="29">
      <c r="A495" s="114">
        <v>2</v>
      </c>
      <c r="B495" s="114">
        <v>2</v>
      </c>
      <c r="C495" s="58" t="s">
        <v>1055</v>
      </c>
      <c r="D495" s="58" t="s">
        <v>1056</v>
      </c>
    </row>
    <row r="496" spans="1:4" s="119" customFormat="1">
      <c r="A496" s="114">
        <v>2</v>
      </c>
      <c r="B496" s="114">
        <v>2</v>
      </c>
      <c r="C496" s="58" t="s">
        <v>1050</v>
      </c>
      <c r="D496" s="58" t="s">
        <v>1051</v>
      </c>
    </row>
    <row r="497" spans="1:4" s="119" customFormat="1" ht="29">
      <c r="A497" s="114">
        <v>2</v>
      </c>
      <c r="B497" s="114">
        <v>3</v>
      </c>
      <c r="C497" s="58" t="s">
        <v>3212</v>
      </c>
      <c r="D497" s="58" t="s">
        <v>3101</v>
      </c>
    </row>
    <row r="498" spans="1:4" s="119" customFormat="1" ht="29">
      <c r="A498" s="114">
        <v>2</v>
      </c>
      <c r="B498" s="114">
        <v>3</v>
      </c>
      <c r="C498" s="58" t="s">
        <v>2129</v>
      </c>
      <c r="D498" s="58" t="s">
        <v>1052</v>
      </c>
    </row>
    <row r="499" spans="1:4" s="119" customFormat="1" ht="29">
      <c r="A499" s="114">
        <v>2</v>
      </c>
      <c r="B499" s="114">
        <v>2</v>
      </c>
      <c r="C499" s="58" t="s">
        <v>1036</v>
      </c>
      <c r="D499" s="58" t="s">
        <v>1037</v>
      </c>
    </row>
    <row r="500" spans="1:4" s="119" customFormat="1">
      <c r="A500" s="114">
        <v>2</v>
      </c>
      <c r="B500" s="114">
        <v>3</v>
      </c>
      <c r="C500" s="58" t="s">
        <v>1038</v>
      </c>
      <c r="D500" s="58" t="s">
        <v>1039</v>
      </c>
    </row>
    <row r="501" spans="1:4" s="119" customFormat="1">
      <c r="A501" s="114">
        <v>2</v>
      </c>
      <c r="B501" s="114">
        <v>3</v>
      </c>
      <c r="C501" s="58" t="s">
        <v>1040</v>
      </c>
      <c r="D501" s="58" t="s">
        <v>1041</v>
      </c>
    </row>
    <row r="502" spans="1:4" s="118" customFormat="1">
      <c r="A502" s="114">
        <v>2</v>
      </c>
      <c r="B502" s="114">
        <v>3</v>
      </c>
      <c r="C502" s="58" t="s">
        <v>1042</v>
      </c>
      <c r="D502" s="58" t="s">
        <v>1043</v>
      </c>
    </row>
    <row r="503" spans="1:4" s="115" customFormat="1">
      <c r="A503" s="114">
        <v>2</v>
      </c>
      <c r="B503" s="114">
        <v>3</v>
      </c>
      <c r="C503" s="58" t="s">
        <v>1044</v>
      </c>
      <c r="D503" s="58" t="s">
        <v>1045</v>
      </c>
    </row>
    <row r="504" spans="1:4" s="115" customFormat="1" ht="29">
      <c r="A504" s="114">
        <v>2</v>
      </c>
      <c r="B504" s="114">
        <v>3</v>
      </c>
      <c r="C504" s="58" t="s">
        <v>1046</v>
      </c>
      <c r="D504" s="58" t="s">
        <v>1047</v>
      </c>
    </row>
    <row r="505" spans="1:4" s="115" customFormat="1" ht="29">
      <c r="A505" s="114">
        <v>2</v>
      </c>
      <c r="B505" s="114">
        <v>1</v>
      </c>
      <c r="C505" s="58" t="s">
        <v>974</v>
      </c>
      <c r="D505" s="58" t="s">
        <v>975</v>
      </c>
    </row>
    <row r="506" spans="1:4" s="115" customFormat="1">
      <c r="A506" s="114">
        <v>2</v>
      </c>
      <c r="B506" s="114">
        <v>2</v>
      </c>
      <c r="C506" s="58" t="s">
        <v>976</v>
      </c>
      <c r="D506" s="58" t="s">
        <v>2432</v>
      </c>
    </row>
    <row r="507" spans="1:4" s="115" customFormat="1" ht="23.5" customHeight="1">
      <c r="A507" s="114">
        <v>2</v>
      </c>
      <c r="B507" s="114">
        <v>2</v>
      </c>
      <c r="C507" s="58" t="s">
        <v>977</v>
      </c>
      <c r="D507" s="58" t="s">
        <v>978</v>
      </c>
    </row>
    <row r="508" spans="1:4" s="94" customFormat="1" ht="24" customHeight="1">
      <c r="A508" s="114">
        <v>2</v>
      </c>
      <c r="B508" s="114">
        <v>2</v>
      </c>
      <c r="C508" s="58" t="s">
        <v>979</v>
      </c>
      <c r="D508" s="58" t="s">
        <v>980</v>
      </c>
    </row>
    <row r="509" spans="1:4" s="94" customFormat="1" ht="29">
      <c r="A509" s="114">
        <v>2</v>
      </c>
      <c r="B509" s="114">
        <v>2</v>
      </c>
      <c r="C509" s="58" t="s">
        <v>981</v>
      </c>
      <c r="D509" s="58" t="s">
        <v>982</v>
      </c>
    </row>
    <row r="510" spans="1:4" s="94" customFormat="1">
      <c r="A510" s="114">
        <v>2</v>
      </c>
      <c r="B510" s="114">
        <v>2</v>
      </c>
      <c r="C510" s="58" t="s">
        <v>983</v>
      </c>
      <c r="D510" s="58" t="s">
        <v>984</v>
      </c>
    </row>
    <row r="511" spans="1:4" s="94" customFormat="1">
      <c r="A511" s="114">
        <v>2</v>
      </c>
      <c r="B511" s="114">
        <v>2</v>
      </c>
      <c r="C511" s="58" t="s">
        <v>985</v>
      </c>
      <c r="D511" s="58" t="s">
        <v>986</v>
      </c>
    </row>
    <row r="512" spans="1:4" s="120" customFormat="1" ht="29">
      <c r="A512" s="114">
        <v>2</v>
      </c>
      <c r="B512" s="114">
        <v>2</v>
      </c>
      <c r="C512" s="58" t="s">
        <v>987</v>
      </c>
      <c r="D512" s="58" t="s">
        <v>3102</v>
      </c>
    </row>
    <row r="513" spans="1:4" s="120" customFormat="1">
      <c r="A513" s="114">
        <v>2</v>
      </c>
      <c r="B513" s="114">
        <v>2</v>
      </c>
      <c r="C513" s="58" t="s">
        <v>988</v>
      </c>
      <c r="D513" s="58" t="s">
        <v>989</v>
      </c>
    </row>
    <row r="514" spans="1:4" s="118" customFormat="1" ht="29">
      <c r="A514" s="114">
        <v>2</v>
      </c>
      <c r="B514" s="114">
        <v>2</v>
      </c>
      <c r="C514" s="58" t="s">
        <v>2433</v>
      </c>
      <c r="D514" s="58" t="s">
        <v>2124</v>
      </c>
    </row>
    <row r="515" spans="1:4" s="118" customFormat="1" ht="29">
      <c r="A515" s="116">
        <v>2</v>
      </c>
      <c r="B515" s="116">
        <v>2</v>
      </c>
      <c r="C515" s="117" t="s">
        <v>2953</v>
      </c>
      <c r="D515" s="117" t="s">
        <v>2955</v>
      </c>
    </row>
    <row r="516" spans="1:4" s="118" customFormat="1">
      <c r="A516" s="116">
        <v>2</v>
      </c>
      <c r="B516" s="116">
        <v>2</v>
      </c>
      <c r="C516" s="117" t="s">
        <v>2952</v>
      </c>
      <c r="D516" s="117" t="s">
        <v>2954</v>
      </c>
    </row>
    <row r="517" spans="1:4" s="118" customFormat="1">
      <c r="A517" s="114">
        <v>2</v>
      </c>
      <c r="B517" s="114">
        <v>2</v>
      </c>
      <c r="C517" s="58" t="s">
        <v>1001</v>
      </c>
      <c r="D517" s="58" t="s">
        <v>2434</v>
      </c>
    </row>
    <row r="518" spans="1:4" s="118" customFormat="1">
      <c r="A518" s="114">
        <v>2</v>
      </c>
      <c r="B518" s="114">
        <v>3</v>
      </c>
      <c r="C518" s="58" t="s">
        <v>2130</v>
      </c>
      <c r="D518" s="58" t="s">
        <v>1002</v>
      </c>
    </row>
    <row r="519" spans="1:4" s="118" customFormat="1">
      <c r="A519" s="114">
        <v>2</v>
      </c>
      <c r="B519" s="114">
        <v>3</v>
      </c>
      <c r="C519" s="58" t="s">
        <v>2131</v>
      </c>
      <c r="D519" s="58" t="s">
        <v>2710</v>
      </c>
    </row>
    <row r="520" spans="1:4" s="94" customFormat="1">
      <c r="A520" s="114">
        <v>2</v>
      </c>
      <c r="B520" s="114">
        <v>3</v>
      </c>
      <c r="C520" s="58" t="s">
        <v>2132</v>
      </c>
      <c r="D520" s="58" t="s">
        <v>2711</v>
      </c>
    </row>
    <row r="521" spans="1:4" s="94" customFormat="1">
      <c r="A521" s="114">
        <v>2</v>
      </c>
      <c r="B521" s="114">
        <v>3</v>
      </c>
      <c r="C521" s="58" t="s">
        <v>2133</v>
      </c>
      <c r="D521" s="58" t="s">
        <v>2712</v>
      </c>
    </row>
    <row r="522" spans="1:4" s="94" customFormat="1">
      <c r="A522" s="114">
        <v>2</v>
      </c>
      <c r="B522" s="114">
        <v>3</v>
      </c>
      <c r="C522" s="58" t="s">
        <v>2134</v>
      </c>
      <c r="D522" s="58" t="s">
        <v>2713</v>
      </c>
    </row>
    <row r="523" spans="1:4" s="94" customFormat="1">
      <c r="A523" s="114">
        <v>2</v>
      </c>
      <c r="B523" s="114">
        <v>3</v>
      </c>
      <c r="C523" s="58" t="s">
        <v>3103</v>
      </c>
      <c r="D523" s="58" t="s">
        <v>2714</v>
      </c>
    </row>
    <row r="524" spans="1:4" s="94" customFormat="1">
      <c r="A524" s="114">
        <v>2</v>
      </c>
      <c r="B524" s="114">
        <v>3</v>
      </c>
      <c r="C524" s="58" t="s">
        <v>3104</v>
      </c>
      <c r="D524" s="58" t="s">
        <v>2715</v>
      </c>
    </row>
    <row r="525" spans="1:4" s="94" customFormat="1">
      <c r="A525" s="114">
        <v>2</v>
      </c>
      <c r="B525" s="114">
        <v>3</v>
      </c>
      <c r="C525" s="58" t="s">
        <v>2435</v>
      </c>
      <c r="D525" s="58" t="s">
        <v>2436</v>
      </c>
    </row>
    <row r="526" spans="1:4" s="94" customFormat="1">
      <c r="A526" s="114">
        <v>2</v>
      </c>
      <c r="B526" s="114">
        <v>3</v>
      </c>
      <c r="C526" s="58" t="s">
        <v>2437</v>
      </c>
      <c r="D526" s="58" t="s">
        <v>3105</v>
      </c>
    </row>
    <row r="527" spans="1:4" s="94" customFormat="1">
      <c r="A527" s="114">
        <v>2</v>
      </c>
      <c r="B527" s="114">
        <v>3</v>
      </c>
      <c r="C527" s="58" t="s">
        <v>2438</v>
      </c>
      <c r="D527" s="58" t="s">
        <v>2439</v>
      </c>
    </row>
    <row r="528" spans="1:4" s="94" customFormat="1">
      <c r="A528" s="114">
        <v>2</v>
      </c>
      <c r="B528" s="114">
        <v>3</v>
      </c>
      <c r="C528" s="58" t="s">
        <v>2440</v>
      </c>
      <c r="D528" s="58" t="s">
        <v>2441</v>
      </c>
    </row>
    <row r="529" spans="1:4" s="94" customFormat="1">
      <c r="A529" s="114">
        <v>2</v>
      </c>
      <c r="B529" s="114">
        <v>3</v>
      </c>
      <c r="C529" s="58" t="s">
        <v>2442</v>
      </c>
      <c r="D529" s="58" t="s">
        <v>2443</v>
      </c>
    </row>
    <row r="530" spans="1:4" s="94" customFormat="1">
      <c r="A530" s="114">
        <v>2</v>
      </c>
      <c r="B530" s="114">
        <v>3</v>
      </c>
      <c r="C530" s="58" t="s">
        <v>2444</v>
      </c>
      <c r="D530" s="58" t="s">
        <v>2445</v>
      </c>
    </row>
    <row r="531" spans="1:4" s="94" customFormat="1" ht="20" customHeight="1">
      <c r="A531" s="114">
        <v>2</v>
      </c>
      <c r="B531" s="114">
        <v>2</v>
      </c>
      <c r="C531" s="58" t="s">
        <v>990</v>
      </c>
      <c r="D531" s="58" t="s">
        <v>991</v>
      </c>
    </row>
    <row r="532" spans="1:4" s="94" customFormat="1" ht="20" customHeight="1">
      <c r="A532" s="114">
        <v>2</v>
      </c>
      <c r="B532" s="114">
        <v>3</v>
      </c>
      <c r="C532" s="58" t="s">
        <v>992</v>
      </c>
      <c r="D532" s="58" t="s">
        <v>2446</v>
      </c>
    </row>
    <row r="533" spans="1:4" s="94" customFormat="1">
      <c r="A533" s="114">
        <v>2</v>
      </c>
      <c r="B533" s="114">
        <v>3</v>
      </c>
      <c r="C533" s="58" t="s">
        <v>993</v>
      </c>
      <c r="D533" s="58" t="s">
        <v>994</v>
      </c>
    </row>
    <row r="534" spans="1:4" s="94" customFormat="1" ht="21" customHeight="1">
      <c r="A534" s="114">
        <v>2</v>
      </c>
      <c r="B534" s="114">
        <v>3</v>
      </c>
      <c r="C534" s="58" t="s">
        <v>995</v>
      </c>
      <c r="D534" s="58" t="s">
        <v>996</v>
      </c>
    </row>
    <row r="535" spans="1:4" s="115" customFormat="1">
      <c r="A535" s="114">
        <v>2</v>
      </c>
      <c r="B535" s="114">
        <v>3</v>
      </c>
      <c r="C535" s="58" t="s">
        <v>997</v>
      </c>
      <c r="D535" s="58" t="s">
        <v>998</v>
      </c>
    </row>
    <row r="536" spans="1:4" s="115" customFormat="1" ht="29">
      <c r="A536" s="114">
        <v>2</v>
      </c>
      <c r="B536" s="114">
        <v>3</v>
      </c>
      <c r="C536" s="58" t="s">
        <v>999</v>
      </c>
      <c r="D536" s="58" t="s">
        <v>1000</v>
      </c>
    </row>
    <row r="537" spans="1:4" s="115" customFormat="1" ht="35" customHeight="1">
      <c r="A537" s="114">
        <v>1</v>
      </c>
      <c r="B537" s="114">
        <v>1</v>
      </c>
      <c r="C537" s="58" t="s">
        <v>164</v>
      </c>
      <c r="D537" s="58" t="s">
        <v>165</v>
      </c>
    </row>
    <row r="538" spans="1:4" s="115" customFormat="1">
      <c r="A538" s="114">
        <v>1</v>
      </c>
      <c r="B538" s="114">
        <v>2</v>
      </c>
      <c r="C538" s="58" t="s">
        <v>166</v>
      </c>
      <c r="D538" s="58" t="s">
        <v>167</v>
      </c>
    </row>
    <row r="539" spans="1:4" s="115" customFormat="1" ht="29">
      <c r="A539" s="114">
        <v>2</v>
      </c>
      <c r="B539" s="114">
        <v>2</v>
      </c>
      <c r="C539" s="58" t="s">
        <v>1780</v>
      </c>
      <c r="D539" s="58" t="s">
        <v>2201</v>
      </c>
    </row>
    <row r="540" spans="1:4" s="115" customFormat="1" ht="23" customHeight="1">
      <c r="A540" s="114">
        <v>2</v>
      </c>
      <c r="B540" s="114">
        <v>3</v>
      </c>
      <c r="C540" s="58" t="s">
        <v>1781</v>
      </c>
      <c r="D540" s="58" t="s">
        <v>2204</v>
      </c>
    </row>
    <row r="541" spans="1:4" s="115" customFormat="1" ht="29">
      <c r="A541" s="114">
        <v>2</v>
      </c>
      <c r="B541" s="114">
        <v>3</v>
      </c>
      <c r="C541" s="58" t="s">
        <v>1782</v>
      </c>
      <c r="D541" s="58" t="s">
        <v>2205</v>
      </c>
    </row>
    <row r="542" spans="1:4" s="115" customFormat="1" ht="29">
      <c r="A542" s="114">
        <v>2</v>
      </c>
      <c r="B542" s="114">
        <v>3</v>
      </c>
      <c r="C542" s="58" t="s">
        <v>2109</v>
      </c>
      <c r="D542" s="58" t="s">
        <v>2206</v>
      </c>
    </row>
    <row r="543" spans="1:4" s="115" customFormat="1">
      <c r="A543" s="114">
        <v>2</v>
      </c>
      <c r="B543" s="114">
        <v>3</v>
      </c>
      <c r="C543" s="58" t="s">
        <v>1004</v>
      </c>
      <c r="D543" s="58" t="s">
        <v>2207</v>
      </c>
    </row>
    <row r="544" spans="1:4" s="115" customFormat="1">
      <c r="A544" s="114">
        <v>2</v>
      </c>
      <c r="B544" s="114">
        <v>3</v>
      </c>
      <c r="C544" s="58" t="s">
        <v>1783</v>
      </c>
      <c r="D544" s="58" t="s">
        <v>2202</v>
      </c>
    </row>
    <row r="545" spans="1:4" s="115" customFormat="1" ht="37" customHeight="1">
      <c r="A545" s="114">
        <v>2</v>
      </c>
      <c r="B545" s="114">
        <v>3</v>
      </c>
      <c r="C545" s="58" t="s">
        <v>1784</v>
      </c>
      <c r="D545" s="58" t="s">
        <v>2208</v>
      </c>
    </row>
    <row r="546" spans="1:4" s="115" customFormat="1" ht="29">
      <c r="A546" s="114">
        <v>2</v>
      </c>
      <c r="B546" s="114">
        <v>3</v>
      </c>
      <c r="C546" s="58" t="s">
        <v>1785</v>
      </c>
      <c r="D546" s="58" t="s">
        <v>2209</v>
      </c>
    </row>
    <row r="547" spans="1:4" s="115" customFormat="1" ht="29">
      <c r="A547" s="114">
        <v>1</v>
      </c>
      <c r="B547" s="114">
        <v>2</v>
      </c>
      <c r="C547" s="58" t="s">
        <v>2241</v>
      </c>
      <c r="D547" s="58" t="s">
        <v>2242</v>
      </c>
    </row>
    <row r="548" spans="1:4" s="115" customFormat="1" ht="21" customHeight="1">
      <c r="A548" s="114">
        <v>1</v>
      </c>
      <c r="B548" s="114">
        <v>3</v>
      </c>
      <c r="C548" s="58" t="s">
        <v>2243</v>
      </c>
      <c r="D548" s="58" t="s">
        <v>2244</v>
      </c>
    </row>
    <row r="549" spans="1:4" s="115" customFormat="1">
      <c r="A549" s="114">
        <v>1</v>
      </c>
      <c r="B549" s="114">
        <v>3</v>
      </c>
      <c r="C549" s="58" t="s">
        <v>2245</v>
      </c>
      <c r="D549" s="58" t="s">
        <v>2246</v>
      </c>
    </row>
    <row r="550" spans="1:4" s="115" customFormat="1" ht="29">
      <c r="A550" s="114">
        <v>1</v>
      </c>
      <c r="B550" s="114">
        <v>2</v>
      </c>
      <c r="C550" s="58" t="s">
        <v>2247</v>
      </c>
      <c r="D550" s="58" t="s">
        <v>2248</v>
      </c>
    </row>
    <row r="551" spans="1:4" s="115" customFormat="1" ht="26" customHeight="1">
      <c r="A551" s="114">
        <v>1</v>
      </c>
      <c r="B551" s="114">
        <v>3</v>
      </c>
      <c r="C551" s="58" t="s">
        <v>2249</v>
      </c>
      <c r="D551" s="58" t="s">
        <v>2250</v>
      </c>
    </row>
    <row r="552" spans="1:4" s="115" customFormat="1" ht="29">
      <c r="A552" s="114">
        <v>1</v>
      </c>
      <c r="B552" s="114">
        <v>3</v>
      </c>
      <c r="C552" s="58" t="s">
        <v>2251</v>
      </c>
      <c r="D552" s="58" t="s">
        <v>2252</v>
      </c>
    </row>
    <row r="553" spans="1:4" s="115" customFormat="1" ht="29">
      <c r="A553" s="114">
        <v>1</v>
      </c>
      <c r="B553" s="114">
        <v>3</v>
      </c>
      <c r="C553" s="58" t="s">
        <v>2253</v>
      </c>
      <c r="D553" s="58" t="s">
        <v>626</v>
      </c>
    </row>
    <row r="554" spans="1:4" s="115" customFormat="1" ht="22.5" customHeight="1">
      <c r="A554" s="114">
        <v>1</v>
      </c>
      <c r="B554" s="114">
        <v>2</v>
      </c>
      <c r="C554" s="58" t="s">
        <v>168</v>
      </c>
      <c r="D554" s="58" t="s">
        <v>3106</v>
      </c>
    </row>
    <row r="555" spans="1:4" s="115" customFormat="1" ht="29">
      <c r="A555" s="114">
        <v>1</v>
      </c>
      <c r="B555" s="114">
        <v>3</v>
      </c>
      <c r="C555" s="58" t="s">
        <v>1828</v>
      </c>
      <c r="D555" s="58" t="s">
        <v>2254</v>
      </c>
    </row>
    <row r="556" spans="1:4" s="115" customFormat="1">
      <c r="A556" s="114">
        <v>1</v>
      </c>
      <c r="B556" s="114">
        <v>3</v>
      </c>
      <c r="C556" s="58" t="s">
        <v>1829</v>
      </c>
      <c r="D556" s="58" t="s">
        <v>2255</v>
      </c>
    </row>
    <row r="557" spans="1:4" s="115" customFormat="1">
      <c r="A557" s="114">
        <v>1</v>
      </c>
      <c r="B557" s="114">
        <v>3</v>
      </c>
      <c r="C557" s="58" t="s">
        <v>1830</v>
      </c>
      <c r="D557" s="58" t="s">
        <v>1260</v>
      </c>
    </row>
    <row r="558" spans="1:4" s="119" customFormat="1">
      <c r="A558" s="114">
        <v>1</v>
      </c>
      <c r="B558" s="114">
        <v>3</v>
      </c>
      <c r="C558" s="58" t="s">
        <v>1831</v>
      </c>
      <c r="D558" s="58" t="s">
        <v>169</v>
      </c>
    </row>
    <row r="559" spans="1:4" s="119" customFormat="1">
      <c r="A559" s="114">
        <v>1</v>
      </c>
      <c r="B559" s="114">
        <v>3</v>
      </c>
      <c r="C559" s="58" t="s">
        <v>1832</v>
      </c>
      <c r="D559" s="58" t="s">
        <v>1261</v>
      </c>
    </row>
    <row r="560" spans="1:4" s="119" customFormat="1">
      <c r="A560" s="114">
        <v>1</v>
      </c>
      <c r="B560" s="114">
        <v>3</v>
      </c>
      <c r="C560" s="58" t="s">
        <v>1833</v>
      </c>
      <c r="D560" s="58" t="s">
        <v>170</v>
      </c>
    </row>
    <row r="561" spans="1:4" s="119" customFormat="1">
      <c r="A561" s="114">
        <v>2</v>
      </c>
      <c r="B561" s="114">
        <v>3</v>
      </c>
      <c r="C561" s="58" t="s">
        <v>3107</v>
      </c>
      <c r="D561" s="58" t="s">
        <v>2125</v>
      </c>
    </row>
    <row r="562" spans="1:4" s="119" customFormat="1">
      <c r="A562" s="114">
        <v>2</v>
      </c>
      <c r="B562" s="114">
        <v>2</v>
      </c>
      <c r="C562" s="58" t="s">
        <v>1786</v>
      </c>
      <c r="D562" s="58" t="s">
        <v>2191</v>
      </c>
    </row>
    <row r="563" spans="1:4" s="119" customFormat="1" ht="29">
      <c r="A563" s="114">
        <v>2</v>
      </c>
      <c r="B563" s="114">
        <v>3</v>
      </c>
      <c r="C563" s="58" t="s">
        <v>3213</v>
      </c>
      <c r="D563" s="58" t="s">
        <v>2210</v>
      </c>
    </row>
    <row r="564" spans="1:4" s="119" customFormat="1">
      <c r="A564" s="114">
        <v>2</v>
      </c>
      <c r="B564" s="114">
        <v>3</v>
      </c>
      <c r="C564" s="58" t="s">
        <v>3108</v>
      </c>
      <c r="D564" s="58" t="s">
        <v>2211</v>
      </c>
    </row>
    <row r="565" spans="1:4" s="119" customFormat="1">
      <c r="A565" s="114">
        <v>2</v>
      </c>
      <c r="B565" s="114">
        <v>3</v>
      </c>
      <c r="C565" s="58" t="s">
        <v>3109</v>
      </c>
      <c r="D565" s="58" t="s">
        <v>2212</v>
      </c>
    </row>
    <row r="566" spans="1:4" s="119" customFormat="1">
      <c r="A566" s="114">
        <v>2</v>
      </c>
      <c r="B566" s="114">
        <v>3</v>
      </c>
      <c r="C566" s="58" t="s">
        <v>3110</v>
      </c>
      <c r="D566" s="58" t="s">
        <v>2213</v>
      </c>
    </row>
    <row r="567" spans="1:4" s="119" customFormat="1" ht="29">
      <c r="A567" s="114">
        <v>1</v>
      </c>
      <c r="B567" s="114">
        <v>2</v>
      </c>
      <c r="C567" s="58" t="s">
        <v>171</v>
      </c>
      <c r="D567" s="58" t="s">
        <v>1788</v>
      </c>
    </row>
    <row r="568" spans="1:4" s="119" customFormat="1" ht="29">
      <c r="A568" s="114">
        <v>1</v>
      </c>
      <c r="B568" s="114">
        <v>3</v>
      </c>
      <c r="C568" s="58" t="s">
        <v>172</v>
      </c>
      <c r="D568" s="58" t="s">
        <v>3111</v>
      </c>
    </row>
    <row r="569" spans="1:4" s="119" customFormat="1">
      <c r="A569" s="114">
        <v>1</v>
      </c>
      <c r="B569" s="114">
        <v>3</v>
      </c>
      <c r="C569" s="58" t="s">
        <v>173</v>
      </c>
      <c r="D569" s="58" t="s">
        <v>1789</v>
      </c>
    </row>
    <row r="570" spans="1:4" s="119" customFormat="1">
      <c r="A570" s="114">
        <v>1</v>
      </c>
      <c r="B570" s="114">
        <v>3</v>
      </c>
      <c r="C570" s="58" t="s">
        <v>174</v>
      </c>
      <c r="D570" s="58" t="s">
        <v>1790</v>
      </c>
    </row>
    <row r="571" spans="1:4" s="119" customFormat="1" ht="24.5" customHeight="1">
      <c r="A571" s="114">
        <v>1</v>
      </c>
      <c r="B571" s="114">
        <v>3</v>
      </c>
      <c r="C571" s="58" t="s">
        <v>175</v>
      </c>
      <c r="D571" s="58" t="s">
        <v>2126</v>
      </c>
    </row>
    <row r="572" spans="1:4" s="115" customFormat="1" ht="29">
      <c r="A572" s="114">
        <v>1</v>
      </c>
      <c r="B572" s="114">
        <v>3</v>
      </c>
      <c r="C572" s="58" t="s">
        <v>176</v>
      </c>
      <c r="D572" s="58" t="s">
        <v>1791</v>
      </c>
    </row>
    <row r="573" spans="1:4" s="115" customFormat="1" ht="29">
      <c r="A573" s="114">
        <v>2</v>
      </c>
      <c r="B573" s="114">
        <v>1</v>
      </c>
      <c r="C573" s="58" t="s">
        <v>1005</v>
      </c>
      <c r="D573" s="58" t="s">
        <v>1006</v>
      </c>
    </row>
    <row r="574" spans="1:4" s="115" customFormat="1" ht="22.5" customHeight="1">
      <c r="A574" s="114">
        <v>2</v>
      </c>
      <c r="B574" s="114">
        <v>2</v>
      </c>
      <c r="C574" s="58" t="s">
        <v>1007</v>
      </c>
      <c r="D574" s="58" t="s">
        <v>1008</v>
      </c>
    </row>
    <row r="575" spans="1:4" s="115" customFormat="1" ht="21" customHeight="1">
      <c r="A575" s="114">
        <v>2</v>
      </c>
      <c r="B575" s="114">
        <v>3</v>
      </c>
      <c r="C575" s="58" t="s">
        <v>1009</v>
      </c>
      <c r="D575" s="58" t="s">
        <v>1010</v>
      </c>
    </row>
    <row r="576" spans="1:4" s="115" customFormat="1">
      <c r="A576" s="114">
        <v>2</v>
      </c>
      <c r="B576" s="114">
        <v>3</v>
      </c>
      <c r="C576" s="58" t="s">
        <v>1011</v>
      </c>
      <c r="D576" s="58" t="s">
        <v>1012</v>
      </c>
    </row>
    <row r="577" spans="1:4" s="115" customFormat="1">
      <c r="A577" s="114">
        <v>2</v>
      </c>
      <c r="B577" s="114">
        <v>2</v>
      </c>
      <c r="C577" s="58" t="s">
        <v>1427</v>
      </c>
      <c r="D577" s="58" t="s">
        <v>1779</v>
      </c>
    </row>
    <row r="578" spans="1:4" s="115" customFormat="1" ht="19.5" customHeight="1">
      <c r="A578" s="114">
        <v>2</v>
      </c>
      <c r="B578" s="114">
        <v>2</v>
      </c>
      <c r="C578" s="58" t="s">
        <v>1770</v>
      </c>
      <c r="D578" s="58" t="s">
        <v>2127</v>
      </c>
    </row>
    <row r="579" spans="1:4" s="115" customFormat="1">
      <c r="A579" s="114">
        <v>2</v>
      </c>
      <c r="B579" s="114">
        <v>2</v>
      </c>
      <c r="C579" s="58" t="s">
        <v>1771</v>
      </c>
      <c r="D579" s="58" t="s">
        <v>1775</v>
      </c>
    </row>
    <row r="580" spans="1:4" s="115" customFormat="1" ht="29">
      <c r="A580" s="114">
        <v>2</v>
      </c>
      <c r="B580" s="114">
        <v>3</v>
      </c>
      <c r="C580" s="58" t="s">
        <v>1772</v>
      </c>
      <c r="D580" s="58" t="s">
        <v>1776</v>
      </c>
    </row>
    <row r="581" spans="1:4" s="115" customFormat="1" ht="23" customHeight="1">
      <c r="A581" s="114">
        <v>2</v>
      </c>
      <c r="B581" s="114">
        <v>3</v>
      </c>
      <c r="C581" s="58" t="s">
        <v>1773</v>
      </c>
      <c r="D581" s="58" t="s">
        <v>1777</v>
      </c>
    </row>
    <row r="582" spans="1:4" s="115" customFormat="1" ht="22.5" customHeight="1">
      <c r="A582" s="114">
        <v>2</v>
      </c>
      <c r="B582" s="114">
        <v>3</v>
      </c>
      <c r="C582" s="58" t="s">
        <v>1774</v>
      </c>
      <c r="D582" s="58" t="s">
        <v>1778</v>
      </c>
    </row>
    <row r="583" spans="1:4" s="115" customFormat="1">
      <c r="A583" s="114">
        <v>2</v>
      </c>
      <c r="B583" s="114">
        <v>2</v>
      </c>
      <c r="C583" s="58" t="s">
        <v>1013</v>
      </c>
      <c r="D583" s="58" t="s">
        <v>2190</v>
      </c>
    </row>
    <row r="584" spans="1:4" s="115" customFormat="1">
      <c r="A584" s="114">
        <v>2</v>
      </c>
      <c r="B584" s="114">
        <v>3</v>
      </c>
      <c r="C584" s="58" t="s">
        <v>1014</v>
      </c>
      <c r="D584" s="58" t="s">
        <v>2221</v>
      </c>
    </row>
    <row r="585" spans="1:4" s="115" customFormat="1">
      <c r="A585" s="114">
        <v>2</v>
      </c>
      <c r="B585" s="114">
        <v>3</v>
      </c>
      <c r="C585" s="58" t="s">
        <v>1015</v>
      </c>
      <c r="D585" s="58" t="s">
        <v>2222</v>
      </c>
    </row>
    <row r="586" spans="1:4" s="115" customFormat="1">
      <c r="A586" s="114">
        <v>2</v>
      </c>
      <c r="B586" s="114">
        <v>3</v>
      </c>
      <c r="C586" s="58" t="s">
        <v>1016</v>
      </c>
      <c r="D586" s="58" t="s">
        <v>2223</v>
      </c>
    </row>
    <row r="587" spans="1:4" s="115" customFormat="1">
      <c r="A587" s="114">
        <v>2</v>
      </c>
      <c r="B587" s="114">
        <v>3</v>
      </c>
      <c r="C587" s="58" t="s">
        <v>1017</v>
      </c>
      <c r="D587" s="58" t="s">
        <v>2224</v>
      </c>
    </row>
    <row r="588" spans="1:4" s="119" customFormat="1">
      <c r="A588" s="114">
        <v>2</v>
      </c>
      <c r="B588" s="114">
        <v>3</v>
      </c>
      <c r="C588" s="58" t="s">
        <v>1018</v>
      </c>
      <c r="D588" s="58" t="s">
        <v>2225</v>
      </c>
    </row>
    <row r="589" spans="1:4" s="119" customFormat="1">
      <c r="A589" s="114">
        <v>2</v>
      </c>
      <c r="B589" s="114">
        <v>3</v>
      </c>
      <c r="C589" s="58" t="s">
        <v>1019</v>
      </c>
      <c r="D589" s="58" t="s">
        <v>2226</v>
      </c>
    </row>
    <row r="590" spans="1:4" s="119" customFormat="1" ht="20.5" customHeight="1">
      <c r="A590" s="114">
        <v>2</v>
      </c>
      <c r="B590" s="114">
        <v>3</v>
      </c>
      <c r="C590" s="58" t="s">
        <v>1020</v>
      </c>
      <c r="D590" s="58" t="s">
        <v>1021</v>
      </c>
    </row>
    <row r="591" spans="1:4" s="119" customFormat="1">
      <c r="A591" s="114">
        <v>2</v>
      </c>
      <c r="B591" s="114">
        <v>3</v>
      </c>
      <c r="C591" s="58" t="s">
        <v>1022</v>
      </c>
      <c r="D591" s="58" t="s">
        <v>2227</v>
      </c>
    </row>
    <row r="592" spans="1:4" s="119" customFormat="1" ht="29">
      <c r="A592" s="114">
        <v>2</v>
      </c>
      <c r="B592" s="114">
        <v>2</v>
      </c>
      <c r="C592" s="58" t="s">
        <v>1023</v>
      </c>
      <c r="D592" s="58" t="s">
        <v>1024</v>
      </c>
    </row>
    <row r="593" spans="1:4" s="119" customFormat="1">
      <c r="A593" s="114">
        <v>2</v>
      </c>
      <c r="B593" s="114">
        <v>3</v>
      </c>
      <c r="C593" s="58" t="s">
        <v>1025</v>
      </c>
      <c r="D593" s="58" t="s">
        <v>1026</v>
      </c>
    </row>
    <row r="594" spans="1:4" s="119" customFormat="1">
      <c r="A594" s="114">
        <v>2</v>
      </c>
      <c r="B594" s="114">
        <v>3</v>
      </c>
      <c r="C594" s="58" t="s">
        <v>1027</v>
      </c>
      <c r="D594" s="58" t="s">
        <v>1028</v>
      </c>
    </row>
    <row r="595" spans="1:4" s="119" customFormat="1">
      <c r="A595" s="114">
        <v>2</v>
      </c>
      <c r="B595" s="114">
        <v>3</v>
      </c>
      <c r="C595" s="58" t="s">
        <v>1029</v>
      </c>
      <c r="D595" s="58" t="s">
        <v>1030</v>
      </c>
    </row>
    <row r="596" spans="1:4" s="119" customFormat="1">
      <c r="A596" s="114">
        <v>2</v>
      </c>
      <c r="B596" s="114">
        <v>3</v>
      </c>
      <c r="C596" s="58" t="s">
        <v>1031</v>
      </c>
      <c r="D596" s="58" t="s">
        <v>1032</v>
      </c>
    </row>
    <row r="597" spans="1:4" s="119" customFormat="1" ht="29">
      <c r="A597" s="114">
        <v>2</v>
      </c>
      <c r="B597" s="114">
        <v>3</v>
      </c>
      <c r="C597" s="58" t="s">
        <v>1033</v>
      </c>
      <c r="D597" s="58" t="s">
        <v>1034</v>
      </c>
    </row>
    <row r="598" spans="1:4" s="119" customFormat="1" ht="29">
      <c r="A598" s="114">
        <v>2</v>
      </c>
      <c r="B598" s="114">
        <v>1</v>
      </c>
      <c r="C598" s="58" t="s">
        <v>649</v>
      </c>
      <c r="D598" s="58" t="s">
        <v>1935</v>
      </c>
    </row>
    <row r="599" spans="1:4" s="119" customFormat="1" ht="29">
      <c r="A599" s="116">
        <v>2</v>
      </c>
      <c r="B599" s="116">
        <v>2</v>
      </c>
      <c r="C599" s="117" t="s">
        <v>2956</v>
      </c>
      <c r="D599" s="117" t="s">
        <v>2957</v>
      </c>
    </row>
    <row r="600" spans="1:4" s="119" customFormat="1">
      <c r="A600" s="114">
        <v>2</v>
      </c>
      <c r="B600" s="114">
        <v>3</v>
      </c>
      <c r="C600" s="58" t="s">
        <v>2515</v>
      </c>
      <c r="D600" s="58" t="s">
        <v>2516</v>
      </c>
    </row>
    <row r="601" spans="1:4" s="119" customFormat="1">
      <c r="A601" s="114">
        <v>2</v>
      </c>
      <c r="B601" s="114">
        <v>3</v>
      </c>
      <c r="C601" s="58" t="s">
        <v>650</v>
      </c>
      <c r="D601" s="58" t="s">
        <v>2517</v>
      </c>
    </row>
    <row r="602" spans="1:4" s="119" customFormat="1">
      <c r="A602" s="114">
        <v>2</v>
      </c>
      <c r="B602" s="114">
        <v>3</v>
      </c>
      <c r="C602" s="58" t="s">
        <v>651</v>
      </c>
      <c r="D602" s="125" t="s">
        <v>3196</v>
      </c>
    </row>
    <row r="603" spans="1:4" s="119" customFormat="1" ht="34.5" customHeight="1">
      <c r="A603" s="114">
        <v>2</v>
      </c>
      <c r="B603" s="114">
        <v>2</v>
      </c>
      <c r="C603" s="58" t="s">
        <v>652</v>
      </c>
      <c r="D603" s="58" t="s">
        <v>2518</v>
      </c>
    </row>
    <row r="604" spans="1:4" s="119" customFormat="1">
      <c r="A604" s="114">
        <v>2</v>
      </c>
      <c r="B604" s="114">
        <v>3</v>
      </c>
      <c r="C604" s="58" t="s">
        <v>653</v>
      </c>
      <c r="D604" s="58" t="s">
        <v>654</v>
      </c>
    </row>
    <row r="605" spans="1:4" s="119" customFormat="1">
      <c r="A605" s="114">
        <v>2</v>
      </c>
      <c r="B605" s="114">
        <v>3</v>
      </c>
      <c r="C605" s="58" t="s">
        <v>655</v>
      </c>
      <c r="D605" s="58" t="s">
        <v>2519</v>
      </c>
    </row>
    <row r="606" spans="1:4" s="119" customFormat="1" ht="29">
      <c r="A606" s="114">
        <v>2</v>
      </c>
      <c r="B606" s="114">
        <v>3</v>
      </c>
      <c r="C606" s="58" t="s">
        <v>656</v>
      </c>
      <c r="D606" s="58" t="s">
        <v>2520</v>
      </c>
    </row>
    <row r="607" spans="1:4" s="119" customFormat="1" ht="24.5" customHeight="1">
      <c r="A607" s="114">
        <v>2</v>
      </c>
      <c r="B607" s="114">
        <v>3</v>
      </c>
      <c r="C607" s="58" t="s">
        <v>657</v>
      </c>
      <c r="D607" s="58" t="s">
        <v>2521</v>
      </c>
    </row>
    <row r="608" spans="1:4" s="119" customFormat="1" ht="29">
      <c r="A608" s="114">
        <v>2</v>
      </c>
      <c r="B608" s="114">
        <v>3</v>
      </c>
      <c r="C608" s="58" t="s">
        <v>658</v>
      </c>
      <c r="D608" s="58" t="s">
        <v>659</v>
      </c>
    </row>
    <row r="609" spans="1:4" s="119" customFormat="1">
      <c r="A609" s="114">
        <v>2</v>
      </c>
      <c r="B609" s="114">
        <v>3</v>
      </c>
      <c r="C609" s="58" t="s">
        <v>2536</v>
      </c>
      <c r="D609" s="58" t="s">
        <v>2537</v>
      </c>
    </row>
    <row r="610" spans="1:4" s="119" customFormat="1">
      <c r="A610" s="114">
        <v>2</v>
      </c>
      <c r="B610" s="114">
        <v>4</v>
      </c>
      <c r="C610" s="58" t="s">
        <v>3112</v>
      </c>
      <c r="D610" s="58" t="s">
        <v>2538</v>
      </c>
    </row>
    <row r="611" spans="1:4" s="119" customFormat="1" ht="29">
      <c r="A611" s="114">
        <v>2</v>
      </c>
      <c r="B611" s="114">
        <v>4</v>
      </c>
      <c r="C611" s="58" t="s">
        <v>3214</v>
      </c>
      <c r="D611" s="58" t="s">
        <v>2539</v>
      </c>
    </row>
    <row r="612" spans="1:4" s="119" customFormat="1">
      <c r="A612" s="114">
        <v>2</v>
      </c>
      <c r="B612" s="114">
        <v>4</v>
      </c>
      <c r="C612" s="58" t="s">
        <v>3113</v>
      </c>
      <c r="D612" s="58" t="s">
        <v>2540</v>
      </c>
    </row>
    <row r="613" spans="1:4" s="119" customFormat="1" ht="20" customHeight="1">
      <c r="A613" s="114">
        <v>2</v>
      </c>
      <c r="B613" s="114">
        <v>4</v>
      </c>
      <c r="C613" s="58" t="s">
        <v>3114</v>
      </c>
      <c r="D613" s="58" t="s">
        <v>2541</v>
      </c>
    </row>
    <row r="614" spans="1:4" s="115" customFormat="1" ht="25" customHeight="1">
      <c r="A614" s="121">
        <v>3</v>
      </c>
      <c r="B614" s="121">
        <v>4</v>
      </c>
      <c r="C614" s="58" t="s">
        <v>3203</v>
      </c>
      <c r="D614" s="58" t="s">
        <v>3204</v>
      </c>
    </row>
    <row r="615" spans="1:4" s="119" customFormat="1" ht="21" customHeight="1">
      <c r="A615" s="114">
        <v>2</v>
      </c>
      <c r="B615" s="114">
        <v>4</v>
      </c>
      <c r="C615" s="58" t="s">
        <v>3215</v>
      </c>
      <c r="D615" s="58" t="s">
        <v>2542</v>
      </c>
    </row>
    <row r="616" spans="1:4" s="119" customFormat="1" ht="20.5" customHeight="1">
      <c r="A616" s="114">
        <v>2</v>
      </c>
      <c r="B616" s="114">
        <v>2</v>
      </c>
      <c r="C616" s="58" t="s">
        <v>2522</v>
      </c>
      <c r="D616" s="58" t="s">
        <v>2523</v>
      </c>
    </row>
    <row r="617" spans="1:4" s="119" customFormat="1">
      <c r="A617" s="114">
        <v>2</v>
      </c>
      <c r="B617" s="114">
        <v>3</v>
      </c>
      <c r="C617" s="58" t="s">
        <v>2524</v>
      </c>
      <c r="D617" s="58" t="s">
        <v>2525</v>
      </c>
    </row>
    <row r="618" spans="1:4" s="119" customFormat="1">
      <c r="A618" s="114">
        <v>2</v>
      </c>
      <c r="B618" s="114">
        <v>3</v>
      </c>
      <c r="C618" s="58" t="s">
        <v>2526</v>
      </c>
      <c r="D618" s="58" t="s">
        <v>2527</v>
      </c>
    </row>
    <row r="619" spans="1:4" s="119" customFormat="1">
      <c r="A619" s="114">
        <v>2</v>
      </c>
      <c r="B619" s="114">
        <v>3</v>
      </c>
      <c r="C619" s="58" t="s">
        <v>2528</v>
      </c>
      <c r="D619" s="58" t="s">
        <v>2529</v>
      </c>
    </row>
    <row r="620" spans="1:4" s="119" customFormat="1">
      <c r="A620" s="114">
        <v>2</v>
      </c>
      <c r="B620" s="114">
        <v>3</v>
      </c>
      <c r="C620" s="58" t="s">
        <v>2530</v>
      </c>
      <c r="D620" s="122" t="s">
        <v>2735</v>
      </c>
    </row>
    <row r="621" spans="1:4" s="119" customFormat="1" ht="29">
      <c r="A621" s="114">
        <v>2</v>
      </c>
      <c r="B621" s="114">
        <v>4</v>
      </c>
      <c r="C621" s="58" t="s">
        <v>3216</v>
      </c>
      <c r="D621" s="58" t="s">
        <v>2531</v>
      </c>
    </row>
    <row r="622" spans="1:4" s="119" customFormat="1" ht="29">
      <c r="A622" s="114">
        <v>2</v>
      </c>
      <c r="B622" s="114">
        <v>4</v>
      </c>
      <c r="C622" s="58" t="s">
        <v>3217</v>
      </c>
      <c r="D622" s="58" t="s">
        <v>2532</v>
      </c>
    </row>
    <row r="623" spans="1:4" s="119" customFormat="1">
      <c r="A623" s="114">
        <v>2</v>
      </c>
      <c r="B623" s="114">
        <v>4</v>
      </c>
      <c r="C623" s="58" t="s">
        <v>3115</v>
      </c>
      <c r="D623" s="58" t="s">
        <v>2533</v>
      </c>
    </row>
    <row r="624" spans="1:4" s="119" customFormat="1">
      <c r="A624" s="114">
        <v>2</v>
      </c>
      <c r="B624" s="114">
        <v>4</v>
      </c>
      <c r="C624" s="58" t="s">
        <v>3116</v>
      </c>
      <c r="D624" s="58" t="s">
        <v>2534</v>
      </c>
    </row>
    <row r="625" spans="1:4" s="119" customFormat="1">
      <c r="A625" s="114">
        <v>2</v>
      </c>
      <c r="B625" s="114">
        <v>4</v>
      </c>
      <c r="C625" s="58" t="s">
        <v>3117</v>
      </c>
      <c r="D625" s="58" t="s">
        <v>2535</v>
      </c>
    </row>
    <row r="626" spans="1:4" s="119" customFormat="1" ht="29">
      <c r="A626" s="114">
        <v>2</v>
      </c>
      <c r="B626" s="114">
        <v>2</v>
      </c>
      <c r="C626" s="58" t="s">
        <v>660</v>
      </c>
      <c r="D626" s="58" t="s">
        <v>1936</v>
      </c>
    </row>
    <row r="627" spans="1:4" s="119" customFormat="1" ht="21" customHeight="1">
      <c r="A627" s="114">
        <v>2</v>
      </c>
      <c r="B627" s="114">
        <v>3</v>
      </c>
      <c r="C627" s="58" t="s">
        <v>661</v>
      </c>
      <c r="D627" s="58" t="s">
        <v>2543</v>
      </c>
    </row>
    <row r="628" spans="1:4" s="119" customFormat="1" ht="22.5" customHeight="1">
      <c r="A628" s="114">
        <v>2</v>
      </c>
      <c r="B628" s="114">
        <v>3</v>
      </c>
      <c r="C628" s="58" t="s">
        <v>2544</v>
      </c>
      <c r="D628" s="58" t="s">
        <v>2545</v>
      </c>
    </row>
    <row r="629" spans="1:4" s="119" customFormat="1" ht="19" customHeight="1">
      <c r="A629" s="114">
        <v>2</v>
      </c>
      <c r="B629" s="114">
        <v>3</v>
      </c>
      <c r="C629" s="58" t="s">
        <v>662</v>
      </c>
      <c r="D629" s="58" t="s">
        <v>1308</v>
      </c>
    </row>
    <row r="630" spans="1:4" s="119" customFormat="1">
      <c r="A630" s="114">
        <v>2</v>
      </c>
      <c r="B630" s="114">
        <v>2</v>
      </c>
      <c r="C630" s="58" t="s">
        <v>663</v>
      </c>
      <c r="D630" s="58" t="s">
        <v>2546</v>
      </c>
    </row>
    <row r="631" spans="1:4" s="119" customFormat="1">
      <c r="A631" s="114">
        <v>2</v>
      </c>
      <c r="B631" s="114">
        <v>3</v>
      </c>
      <c r="C631" s="58" t="s">
        <v>664</v>
      </c>
      <c r="D631" s="58" t="s">
        <v>665</v>
      </c>
    </row>
    <row r="632" spans="1:4" s="119" customFormat="1">
      <c r="A632" s="114">
        <v>2</v>
      </c>
      <c r="B632" s="114">
        <v>3</v>
      </c>
      <c r="C632" s="58" t="s">
        <v>666</v>
      </c>
      <c r="D632" s="58" t="s">
        <v>667</v>
      </c>
    </row>
    <row r="633" spans="1:4" s="119" customFormat="1">
      <c r="A633" s="114">
        <v>3</v>
      </c>
      <c r="B633" s="114">
        <v>3</v>
      </c>
      <c r="C633" s="58" t="s">
        <v>2993</v>
      </c>
      <c r="D633" s="58" t="s">
        <v>2994</v>
      </c>
    </row>
    <row r="634" spans="1:4" s="119" customFormat="1">
      <c r="A634" s="114">
        <v>3</v>
      </c>
      <c r="B634" s="114">
        <v>3</v>
      </c>
      <c r="C634" s="58" t="s">
        <v>2995</v>
      </c>
      <c r="D634" s="58" t="s">
        <v>2996</v>
      </c>
    </row>
    <row r="635" spans="1:4" s="119" customFormat="1" ht="29">
      <c r="A635" s="114">
        <v>2</v>
      </c>
      <c r="B635" s="114">
        <v>2</v>
      </c>
      <c r="C635" s="58" t="s">
        <v>668</v>
      </c>
      <c r="D635" s="58" t="s">
        <v>2547</v>
      </c>
    </row>
    <row r="636" spans="1:4" s="119" customFormat="1">
      <c r="A636" s="114">
        <v>2</v>
      </c>
      <c r="B636" s="114">
        <v>3</v>
      </c>
      <c r="C636" s="58" t="s">
        <v>669</v>
      </c>
      <c r="D636" s="58" t="s">
        <v>2548</v>
      </c>
    </row>
    <row r="637" spans="1:4" s="119" customFormat="1">
      <c r="A637" s="114">
        <v>2</v>
      </c>
      <c r="B637" s="114">
        <v>3</v>
      </c>
      <c r="C637" s="58" t="s">
        <v>670</v>
      </c>
      <c r="D637" s="58" t="s">
        <v>2549</v>
      </c>
    </row>
    <row r="638" spans="1:4" s="119" customFormat="1">
      <c r="A638" s="114">
        <v>2</v>
      </c>
      <c r="B638" s="114">
        <v>3</v>
      </c>
      <c r="C638" s="58" t="s">
        <v>671</v>
      </c>
      <c r="D638" s="58" t="s">
        <v>2550</v>
      </c>
    </row>
    <row r="639" spans="1:4" s="119" customFormat="1">
      <c r="A639" s="114">
        <v>2</v>
      </c>
      <c r="B639" s="114">
        <v>3</v>
      </c>
      <c r="C639" s="58" t="s">
        <v>672</v>
      </c>
      <c r="D639" s="58" t="s">
        <v>673</v>
      </c>
    </row>
    <row r="640" spans="1:4" s="119" customFormat="1" ht="35" customHeight="1">
      <c r="A640" s="114">
        <v>2</v>
      </c>
      <c r="B640" s="114">
        <v>2</v>
      </c>
      <c r="C640" s="58" t="s">
        <v>674</v>
      </c>
      <c r="D640" s="58" t="s">
        <v>2551</v>
      </c>
    </row>
    <row r="641" spans="1:4" s="119" customFormat="1">
      <c r="A641" s="114">
        <v>2</v>
      </c>
      <c r="B641" s="114">
        <v>3</v>
      </c>
      <c r="C641" s="58" t="s">
        <v>675</v>
      </c>
      <c r="D641" s="58" t="s">
        <v>676</v>
      </c>
    </row>
    <row r="642" spans="1:4" s="115" customFormat="1" ht="29">
      <c r="A642" s="114">
        <v>2</v>
      </c>
      <c r="B642" s="114">
        <v>3</v>
      </c>
      <c r="C642" s="58" t="s">
        <v>677</v>
      </c>
      <c r="D642" s="58" t="s">
        <v>2552</v>
      </c>
    </row>
    <row r="643" spans="1:4" s="115" customFormat="1" ht="22.5" customHeight="1">
      <c r="A643" s="114">
        <v>2</v>
      </c>
      <c r="B643" s="114">
        <v>3</v>
      </c>
      <c r="C643" s="58" t="s">
        <v>678</v>
      </c>
      <c r="D643" s="58" t="s">
        <v>2553</v>
      </c>
    </row>
    <row r="644" spans="1:4" s="115" customFormat="1">
      <c r="A644" s="114">
        <v>2</v>
      </c>
      <c r="B644" s="114">
        <v>3</v>
      </c>
      <c r="C644" s="58" t="s">
        <v>679</v>
      </c>
      <c r="D644" s="58" t="s">
        <v>2554</v>
      </c>
    </row>
    <row r="645" spans="1:4" s="118" customFormat="1" ht="29">
      <c r="A645" s="116">
        <v>2</v>
      </c>
      <c r="B645" s="116">
        <v>2</v>
      </c>
      <c r="C645" s="117" t="s">
        <v>680</v>
      </c>
      <c r="D645" s="117" t="s">
        <v>2958</v>
      </c>
    </row>
    <row r="646" spans="1:4" s="115" customFormat="1">
      <c r="A646" s="114">
        <v>2</v>
      </c>
      <c r="B646" s="114">
        <v>3</v>
      </c>
      <c r="C646" s="58" t="s">
        <v>681</v>
      </c>
      <c r="D646" s="58" t="s">
        <v>682</v>
      </c>
    </row>
    <row r="647" spans="1:4" s="115" customFormat="1">
      <c r="A647" s="114">
        <v>2</v>
      </c>
      <c r="B647" s="114">
        <v>3</v>
      </c>
      <c r="C647" s="58" t="s">
        <v>683</v>
      </c>
      <c r="D647" s="58" t="s">
        <v>684</v>
      </c>
    </row>
    <row r="648" spans="1:4" s="115" customFormat="1" ht="23" customHeight="1">
      <c r="A648" s="114">
        <v>2</v>
      </c>
      <c r="B648" s="114">
        <v>3</v>
      </c>
      <c r="C648" s="58" t="s">
        <v>685</v>
      </c>
      <c r="D648" s="58" t="s">
        <v>686</v>
      </c>
    </row>
    <row r="649" spans="1:4" s="115" customFormat="1">
      <c r="A649" s="114">
        <v>2</v>
      </c>
      <c r="B649" s="114">
        <v>3</v>
      </c>
      <c r="C649" s="58" t="s">
        <v>687</v>
      </c>
      <c r="D649" s="58" t="s">
        <v>688</v>
      </c>
    </row>
    <row r="650" spans="1:4" s="115" customFormat="1" ht="29">
      <c r="A650" s="114">
        <v>2</v>
      </c>
      <c r="B650" s="114">
        <v>3</v>
      </c>
      <c r="C650" s="58" t="s">
        <v>689</v>
      </c>
      <c r="D650" s="58" t="s">
        <v>1309</v>
      </c>
    </row>
    <row r="651" spans="1:4" s="115" customFormat="1" ht="29">
      <c r="A651" s="114">
        <v>2</v>
      </c>
      <c r="B651" s="114">
        <v>3</v>
      </c>
      <c r="C651" s="58" t="s">
        <v>690</v>
      </c>
      <c r="D651" s="58" t="s">
        <v>2192</v>
      </c>
    </row>
    <row r="652" spans="1:4" s="115" customFormat="1" ht="29">
      <c r="A652" s="114">
        <v>2</v>
      </c>
      <c r="B652" s="114">
        <v>4</v>
      </c>
      <c r="C652" s="58" t="s">
        <v>3218</v>
      </c>
      <c r="D652" s="58" t="s">
        <v>691</v>
      </c>
    </row>
    <row r="653" spans="1:4" s="115" customFormat="1" ht="25.5" customHeight="1">
      <c r="A653" s="114">
        <v>2</v>
      </c>
      <c r="B653" s="114">
        <v>4</v>
      </c>
      <c r="C653" s="58" t="s">
        <v>3118</v>
      </c>
      <c r="D653" s="58" t="s">
        <v>692</v>
      </c>
    </row>
    <row r="654" spans="1:4" s="115" customFormat="1" ht="22" customHeight="1">
      <c r="A654" s="114">
        <v>2</v>
      </c>
      <c r="B654" s="114">
        <v>4</v>
      </c>
      <c r="C654" s="58" t="s">
        <v>3119</v>
      </c>
      <c r="D654" s="58" t="s">
        <v>693</v>
      </c>
    </row>
    <row r="655" spans="1:4" s="115" customFormat="1" ht="19" customHeight="1">
      <c r="A655" s="114">
        <v>2</v>
      </c>
      <c r="B655" s="114">
        <v>4</v>
      </c>
      <c r="C655" s="58" t="s">
        <v>3120</v>
      </c>
      <c r="D655" s="58" t="s">
        <v>694</v>
      </c>
    </row>
    <row r="656" spans="1:4" s="115" customFormat="1" ht="21.5" customHeight="1">
      <c r="A656" s="121">
        <v>3</v>
      </c>
      <c r="B656" s="121">
        <v>4</v>
      </c>
      <c r="C656" s="58" t="s">
        <v>3201</v>
      </c>
      <c r="D656" s="58" t="s">
        <v>3202</v>
      </c>
    </row>
    <row r="657" spans="1:4" s="115" customFormat="1">
      <c r="A657" s="114">
        <v>2</v>
      </c>
      <c r="B657" s="114">
        <v>4</v>
      </c>
      <c r="C657" s="58" t="s">
        <v>3121</v>
      </c>
      <c r="D657" s="58" t="s">
        <v>695</v>
      </c>
    </row>
    <row r="658" spans="1:4" s="115" customFormat="1">
      <c r="A658" s="114">
        <v>2</v>
      </c>
      <c r="B658" s="114">
        <v>4</v>
      </c>
      <c r="C658" s="58" t="s">
        <v>3122</v>
      </c>
      <c r="D658" s="113" t="s">
        <v>3229</v>
      </c>
    </row>
    <row r="659" spans="1:4" s="115" customFormat="1">
      <c r="A659" s="114">
        <v>2</v>
      </c>
      <c r="B659" s="114">
        <v>2</v>
      </c>
      <c r="C659" s="58" t="s">
        <v>2555</v>
      </c>
      <c r="D659" s="58" t="s">
        <v>2556</v>
      </c>
    </row>
    <row r="660" spans="1:4" s="115" customFormat="1">
      <c r="A660" s="114">
        <v>2</v>
      </c>
      <c r="B660" s="114">
        <v>2</v>
      </c>
      <c r="C660" s="58" t="s">
        <v>696</v>
      </c>
      <c r="D660" s="58" t="s">
        <v>1937</v>
      </c>
    </row>
    <row r="661" spans="1:4" s="115" customFormat="1">
      <c r="A661" s="114">
        <v>2</v>
      </c>
      <c r="B661" s="114">
        <v>3</v>
      </c>
      <c r="C661" s="58" t="s">
        <v>1938</v>
      </c>
      <c r="D661" s="58" t="s">
        <v>1310</v>
      </c>
    </row>
    <row r="662" spans="1:4" s="115" customFormat="1">
      <c r="A662" s="114">
        <v>2</v>
      </c>
      <c r="B662" s="114">
        <v>3</v>
      </c>
      <c r="C662" s="58" t="s">
        <v>1939</v>
      </c>
      <c r="D662" s="58" t="s">
        <v>1311</v>
      </c>
    </row>
    <row r="663" spans="1:4" s="115" customFormat="1" ht="29">
      <c r="A663" s="114">
        <v>2</v>
      </c>
      <c r="B663" s="114">
        <v>2</v>
      </c>
      <c r="C663" s="58" t="s">
        <v>697</v>
      </c>
      <c r="D663" s="58" t="s">
        <v>1940</v>
      </c>
    </row>
    <row r="664" spans="1:4" s="115" customFormat="1" ht="29">
      <c r="A664" s="114">
        <v>2</v>
      </c>
      <c r="B664" s="114">
        <v>3</v>
      </c>
      <c r="C664" s="58" t="s">
        <v>1795</v>
      </c>
      <c r="D664" s="58" t="s">
        <v>2557</v>
      </c>
    </row>
    <row r="665" spans="1:4" s="115" customFormat="1">
      <c r="A665" s="114">
        <v>2</v>
      </c>
      <c r="B665" s="114">
        <v>3</v>
      </c>
      <c r="C665" s="58" t="s">
        <v>1796</v>
      </c>
      <c r="D665" s="58" t="s">
        <v>1797</v>
      </c>
    </row>
    <row r="666" spans="1:4" s="115" customFormat="1">
      <c r="A666" s="114">
        <v>2</v>
      </c>
      <c r="B666" s="114">
        <v>3</v>
      </c>
      <c r="C666" s="58" t="s">
        <v>1798</v>
      </c>
      <c r="D666" s="58" t="s">
        <v>1799</v>
      </c>
    </row>
    <row r="667" spans="1:4" s="115" customFormat="1" ht="29">
      <c r="A667" s="114">
        <v>2</v>
      </c>
      <c r="B667" s="114">
        <v>3</v>
      </c>
      <c r="C667" s="58" t="s">
        <v>1800</v>
      </c>
      <c r="D667" s="58" t="s">
        <v>2128</v>
      </c>
    </row>
    <row r="668" spans="1:4" s="115" customFormat="1" ht="29">
      <c r="A668" s="114">
        <v>2</v>
      </c>
      <c r="B668" s="114">
        <v>3</v>
      </c>
      <c r="C668" s="58" t="s">
        <v>698</v>
      </c>
      <c r="D668" s="58" t="s">
        <v>699</v>
      </c>
    </row>
    <row r="669" spans="1:4" s="115" customFormat="1">
      <c r="A669" s="114">
        <v>3</v>
      </c>
      <c r="B669" s="114">
        <v>1</v>
      </c>
      <c r="C669" s="58" t="s">
        <v>546</v>
      </c>
      <c r="D669" s="58" t="s">
        <v>2447</v>
      </c>
    </row>
    <row r="670" spans="1:4" s="115" customFormat="1">
      <c r="A670" s="114">
        <v>3</v>
      </c>
      <c r="B670" s="114">
        <v>2</v>
      </c>
      <c r="C670" s="58" t="s">
        <v>547</v>
      </c>
      <c r="D670" s="58" t="s">
        <v>548</v>
      </c>
    </row>
    <row r="671" spans="1:4" s="115" customFormat="1">
      <c r="A671" s="114">
        <v>3</v>
      </c>
      <c r="B671" s="114">
        <v>2</v>
      </c>
      <c r="C671" s="58" t="s">
        <v>549</v>
      </c>
      <c r="D671" s="58" t="s">
        <v>2448</v>
      </c>
    </row>
    <row r="672" spans="1:4" s="119" customFormat="1" ht="18.5" customHeight="1">
      <c r="A672" s="114">
        <v>3</v>
      </c>
      <c r="B672" s="114">
        <v>2</v>
      </c>
      <c r="C672" s="58" t="s">
        <v>550</v>
      </c>
      <c r="D672" s="58" t="s">
        <v>2449</v>
      </c>
    </row>
    <row r="673" spans="1:4" s="119" customFormat="1">
      <c r="A673" s="114">
        <v>3</v>
      </c>
      <c r="B673" s="114">
        <v>2</v>
      </c>
      <c r="C673" s="58" t="s">
        <v>551</v>
      </c>
      <c r="D673" s="58" t="s">
        <v>2450</v>
      </c>
    </row>
    <row r="674" spans="1:4" s="119" customFormat="1" ht="29">
      <c r="A674" s="114">
        <v>3</v>
      </c>
      <c r="B674" s="114">
        <v>2</v>
      </c>
      <c r="C674" s="58" t="s">
        <v>552</v>
      </c>
      <c r="D674" s="58" t="s">
        <v>1916</v>
      </c>
    </row>
    <row r="675" spans="1:4" s="119" customFormat="1">
      <c r="A675" s="114">
        <v>3</v>
      </c>
      <c r="B675" s="114">
        <v>3</v>
      </c>
      <c r="C675" s="58" t="s">
        <v>553</v>
      </c>
      <c r="D675" s="58" t="s">
        <v>1312</v>
      </c>
    </row>
    <row r="676" spans="1:4" s="119" customFormat="1">
      <c r="A676" s="114">
        <v>3</v>
      </c>
      <c r="B676" s="114">
        <v>3</v>
      </c>
      <c r="C676" s="58" t="s">
        <v>554</v>
      </c>
      <c r="D676" s="58" t="s">
        <v>1313</v>
      </c>
    </row>
    <row r="677" spans="1:4" s="119" customFormat="1" ht="18.5" customHeight="1">
      <c r="A677" s="114">
        <v>3</v>
      </c>
      <c r="B677" s="114">
        <v>3</v>
      </c>
      <c r="C677" s="58" t="s">
        <v>555</v>
      </c>
      <c r="D677" s="58" t="s">
        <v>2451</v>
      </c>
    </row>
    <row r="678" spans="1:4" s="119" customFormat="1" ht="23" customHeight="1">
      <c r="A678" s="114">
        <v>3</v>
      </c>
      <c r="B678" s="114">
        <v>2</v>
      </c>
      <c r="C678" s="58" t="s">
        <v>556</v>
      </c>
      <c r="D678" s="58" t="s">
        <v>2452</v>
      </c>
    </row>
    <row r="679" spans="1:4" s="119" customFormat="1">
      <c r="A679" s="114">
        <v>3</v>
      </c>
      <c r="B679" s="114">
        <v>3</v>
      </c>
      <c r="C679" s="58" t="s">
        <v>557</v>
      </c>
      <c r="D679" s="58" t="s">
        <v>2453</v>
      </c>
    </row>
    <row r="680" spans="1:4" s="119" customFormat="1">
      <c r="A680" s="114">
        <v>3</v>
      </c>
      <c r="B680" s="114">
        <v>3</v>
      </c>
      <c r="C680" s="58" t="s">
        <v>558</v>
      </c>
      <c r="D680" s="58" t="s">
        <v>2454</v>
      </c>
    </row>
    <row r="681" spans="1:4" s="119" customFormat="1" ht="29">
      <c r="A681" s="114">
        <v>3</v>
      </c>
      <c r="B681" s="114">
        <v>3</v>
      </c>
      <c r="C681" s="58" t="s">
        <v>559</v>
      </c>
      <c r="D681" s="58" t="s">
        <v>626</v>
      </c>
    </row>
    <row r="682" spans="1:4" s="119" customFormat="1" ht="29">
      <c r="A682" s="114">
        <v>3</v>
      </c>
      <c r="B682" s="114">
        <v>2</v>
      </c>
      <c r="C682" s="58" t="s">
        <v>560</v>
      </c>
      <c r="D682" s="58" t="s">
        <v>3123</v>
      </c>
    </row>
    <row r="683" spans="1:4" s="119" customFormat="1">
      <c r="A683" s="114">
        <v>3</v>
      </c>
      <c r="B683" s="114">
        <v>3</v>
      </c>
      <c r="C683" s="58" t="s">
        <v>561</v>
      </c>
      <c r="D683" s="58" t="s">
        <v>2455</v>
      </c>
    </row>
    <row r="684" spans="1:4" s="119" customFormat="1">
      <c r="A684" s="114">
        <v>3</v>
      </c>
      <c r="B684" s="114">
        <v>3</v>
      </c>
      <c r="C684" s="58" t="s">
        <v>562</v>
      </c>
      <c r="D684" s="58" t="s">
        <v>563</v>
      </c>
    </row>
    <row r="685" spans="1:4" s="119" customFormat="1">
      <c r="A685" s="114">
        <v>3</v>
      </c>
      <c r="B685" s="114">
        <v>2</v>
      </c>
      <c r="C685" s="58" t="s">
        <v>2217</v>
      </c>
      <c r="D685" s="58" t="s">
        <v>2218</v>
      </c>
    </row>
    <row r="686" spans="1:4" s="119" customFormat="1">
      <c r="A686" s="114">
        <v>3</v>
      </c>
      <c r="B686" s="114">
        <v>2</v>
      </c>
      <c r="C686" s="58" t="s">
        <v>564</v>
      </c>
      <c r="D686" s="58" t="s">
        <v>1314</v>
      </c>
    </row>
    <row r="687" spans="1:4" s="119" customFormat="1">
      <c r="A687" s="114">
        <v>3</v>
      </c>
      <c r="B687" s="114">
        <v>3</v>
      </c>
      <c r="C687" s="58" t="s">
        <v>1917</v>
      </c>
      <c r="D687" s="58" t="s">
        <v>565</v>
      </c>
    </row>
    <row r="688" spans="1:4" s="119" customFormat="1">
      <c r="A688" s="114">
        <v>3</v>
      </c>
      <c r="B688" s="114">
        <v>3</v>
      </c>
      <c r="C688" s="58" t="s">
        <v>1918</v>
      </c>
      <c r="D688" s="58" t="s">
        <v>566</v>
      </c>
    </row>
    <row r="689" spans="1:4" s="119" customFormat="1">
      <c r="A689" s="114">
        <v>3</v>
      </c>
      <c r="B689" s="114">
        <v>3</v>
      </c>
      <c r="C689" s="58" t="s">
        <v>1919</v>
      </c>
      <c r="D689" s="58" t="s">
        <v>567</v>
      </c>
    </row>
    <row r="690" spans="1:4" s="119" customFormat="1">
      <c r="A690" s="114">
        <v>3</v>
      </c>
      <c r="B690" s="114">
        <v>3</v>
      </c>
      <c r="C690" s="58" t="s">
        <v>1920</v>
      </c>
      <c r="D690" s="58" t="s">
        <v>568</v>
      </c>
    </row>
    <row r="691" spans="1:4" s="119" customFormat="1">
      <c r="A691" s="114">
        <v>3</v>
      </c>
      <c r="B691" s="114">
        <v>3</v>
      </c>
      <c r="C691" s="58" t="s">
        <v>3124</v>
      </c>
      <c r="D691" s="58" t="s">
        <v>569</v>
      </c>
    </row>
    <row r="692" spans="1:4" s="119" customFormat="1">
      <c r="A692" s="114">
        <v>3</v>
      </c>
      <c r="B692" s="114">
        <v>3</v>
      </c>
      <c r="C692" s="58" t="s">
        <v>1921</v>
      </c>
      <c r="D692" s="58" t="s">
        <v>570</v>
      </c>
    </row>
    <row r="693" spans="1:4" s="119" customFormat="1">
      <c r="A693" s="114">
        <v>3</v>
      </c>
      <c r="B693" s="114">
        <v>3</v>
      </c>
      <c r="C693" s="58" t="s">
        <v>1922</v>
      </c>
      <c r="D693" s="58" t="s">
        <v>571</v>
      </c>
    </row>
    <row r="694" spans="1:4" s="119" customFormat="1">
      <c r="A694" s="114">
        <v>3</v>
      </c>
      <c r="B694" s="114">
        <v>3</v>
      </c>
      <c r="C694" s="58" t="s">
        <v>1923</v>
      </c>
      <c r="D694" s="58" t="s">
        <v>572</v>
      </c>
    </row>
    <row r="695" spans="1:4" s="119" customFormat="1">
      <c r="A695" s="114">
        <v>3</v>
      </c>
      <c r="B695" s="114">
        <v>3</v>
      </c>
      <c r="C695" s="58" t="s">
        <v>3125</v>
      </c>
      <c r="D695" s="58" t="s">
        <v>573</v>
      </c>
    </row>
    <row r="696" spans="1:4" s="119" customFormat="1">
      <c r="A696" s="114">
        <v>3</v>
      </c>
      <c r="B696" s="114">
        <v>3</v>
      </c>
      <c r="C696" s="58" t="s">
        <v>1924</v>
      </c>
      <c r="D696" s="58" t="s">
        <v>574</v>
      </c>
    </row>
    <row r="697" spans="1:4" s="119" customFormat="1">
      <c r="A697" s="114">
        <v>3</v>
      </c>
      <c r="B697" s="114">
        <v>3</v>
      </c>
      <c r="C697" s="58" t="s">
        <v>1925</v>
      </c>
      <c r="D697" s="58" t="s">
        <v>575</v>
      </c>
    </row>
    <row r="698" spans="1:4" s="119" customFormat="1">
      <c r="A698" s="114">
        <v>3</v>
      </c>
      <c r="B698" s="114">
        <v>3</v>
      </c>
      <c r="C698" s="58" t="s">
        <v>3126</v>
      </c>
      <c r="D698" s="58" t="s">
        <v>576</v>
      </c>
    </row>
    <row r="699" spans="1:4" s="119" customFormat="1">
      <c r="A699" s="114">
        <v>3</v>
      </c>
      <c r="B699" s="114">
        <v>3</v>
      </c>
      <c r="C699" s="58" t="s">
        <v>2219</v>
      </c>
      <c r="D699" s="58" t="s">
        <v>2456</v>
      </c>
    </row>
    <row r="700" spans="1:4" s="119" customFormat="1" ht="29">
      <c r="A700" s="114">
        <v>3</v>
      </c>
      <c r="B700" s="114">
        <v>2</v>
      </c>
      <c r="C700" s="58" t="s">
        <v>577</v>
      </c>
      <c r="D700" s="58" t="s">
        <v>578</v>
      </c>
    </row>
    <row r="701" spans="1:4" s="119" customFormat="1" ht="29">
      <c r="A701" s="114">
        <v>3</v>
      </c>
      <c r="B701" s="114">
        <v>3</v>
      </c>
      <c r="C701" s="58" t="s">
        <v>579</v>
      </c>
      <c r="D701" s="58" t="s">
        <v>2457</v>
      </c>
    </row>
    <row r="702" spans="1:4" s="119" customFormat="1">
      <c r="A702" s="114">
        <v>3</v>
      </c>
      <c r="B702" s="114">
        <v>3</v>
      </c>
      <c r="C702" s="58" t="s">
        <v>580</v>
      </c>
      <c r="D702" s="58" t="s">
        <v>1315</v>
      </c>
    </row>
    <row r="703" spans="1:4" s="119" customFormat="1">
      <c r="A703" s="114">
        <v>3</v>
      </c>
      <c r="B703" s="114">
        <v>3</v>
      </c>
      <c r="C703" s="58" t="s">
        <v>581</v>
      </c>
      <c r="D703" s="58" t="s">
        <v>1316</v>
      </c>
    </row>
    <row r="704" spans="1:4" s="119" customFormat="1" ht="23.5" customHeight="1">
      <c r="A704" s="114">
        <v>3</v>
      </c>
      <c r="B704" s="114">
        <v>3</v>
      </c>
      <c r="C704" s="58" t="s">
        <v>582</v>
      </c>
      <c r="D704" s="58" t="s">
        <v>2458</v>
      </c>
    </row>
    <row r="705" spans="1:4" s="119" customFormat="1" ht="29">
      <c r="A705" s="114">
        <v>3</v>
      </c>
      <c r="B705" s="114">
        <v>3</v>
      </c>
      <c r="C705" s="58" t="s">
        <v>583</v>
      </c>
      <c r="D705" s="58" t="s">
        <v>584</v>
      </c>
    </row>
    <row r="706" spans="1:4" s="119" customFormat="1" ht="21" customHeight="1">
      <c r="A706" s="114">
        <v>3</v>
      </c>
      <c r="B706" s="114">
        <v>1</v>
      </c>
      <c r="C706" s="58" t="s">
        <v>585</v>
      </c>
      <c r="D706" s="58" t="s">
        <v>586</v>
      </c>
    </row>
    <row r="707" spans="1:4" s="119" customFormat="1">
      <c r="A707" s="114">
        <v>3</v>
      </c>
      <c r="B707" s="114">
        <v>2</v>
      </c>
      <c r="C707" s="58" t="s">
        <v>587</v>
      </c>
      <c r="D707" s="58" t="s">
        <v>588</v>
      </c>
    </row>
    <row r="708" spans="1:4" s="119" customFormat="1">
      <c r="A708" s="114">
        <v>3</v>
      </c>
      <c r="B708" s="114">
        <v>2</v>
      </c>
      <c r="C708" s="58" t="s">
        <v>589</v>
      </c>
      <c r="D708" s="58" t="s">
        <v>590</v>
      </c>
    </row>
    <row r="709" spans="1:4" s="119" customFormat="1" ht="25.5" customHeight="1">
      <c r="A709" s="114">
        <v>3</v>
      </c>
      <c r="B709" s="114">
        <v>2</v>
      </c>
      <c r="C709" s="58" t="s">
        <v>591</v>
      </c>
      <c r="D709" s="58" t="s">
        <v>2459</v>
      </c>
    </row>
    <row r="710" spans="1:4" s="119" customFormat="1" ht="24" customHeight="1">
      <c r="A710" s="114">
        <v>3</v>
      </c>
      <c r="B710" s="114">
        <v>3</v>
      </c>
      <c r="C710" s="58" t="s">
        <v>592</v>
      </c>
      <c r="D710" s="58" t="s">
        <v>1425</v>
      </c>
    </row>
    <row r="711" spans="1:4" s="119" customFormat="1" ht="30" customHeight="1">
      <c r="A711" s="114">
        <v>3</v>
      </c>
      <c r="B711" s="114">
        <v>3</v>
      </c>
      <c r="C711" s="58" t="s">
        <v>593</v>
      </c>
      <c r="D711" s="58" t="s">
        <v>594</v>
      </c>
    </row>
    <row r="712" spans="1:4" s="119" customFormat="1" ht="29">
      <c r="A712" s="114">
        <v>3</v>
      </c>
      <c r="B712" s="114">
        <v>3</v>
      </c>
      <c r="C712" s="58" t="s">
        <v>595</v>
      </c>
      <c r="D712" s="58" t="s">
        <v>596</v>
      </c>
    </row>
    <row r="713" spans="1:4" s="115" customFormat="1">
      <c r="A713" s="114">
        <v>3</v>
      </c>
      <c r="B713" s="114">
        <v>2</v>
      </c>
      <c r="C713" s="58" t="s">
        <v>597</v>
      </c>
      <c r="D713" s="58" t="s">
        <v>1926</v>
      </c>
    </row>
    <row r="714" spans="1:4" s="115" customFormat="1">
      <c r="A714" s="114">
        <v>3</v>
      </c>
      <c r="B714" s="114">
        <v>3</v>
      </c>
      <c r="C714" s="58" t="s">
        <v>1927</v>
      </c>
      <c r="D714" s="58" t="s">
        <v>1317</v>
      </c>
    </row>
    <row r="715" spans="1:4" s="115" customFormat="1">
      <c r="A715" s="114">
        <v>3</v>
      </c>
      <c r="B715" s="114">
        <v>3</v>
      </c>
      <c r="C715" s="58" t="s">
        <v>1928</v>
      </c>
      <c r="D715" s="58" t="s">
        <v>1318</v>
      </c>
    </row>
    <row r="716" spans="1:4" s="115" customFormat="1">
      <c r="A716" s="114">
        <v>3</v>
      </c>
      <c r="B716" s="114">
        <v>3</v>
      </c>
      <c r="C716" s="58" t="s">
        <v>1929</v>
      </c>
      <c r="D716" s="58" t="s">
        <v>1319</v>
      </c>
    </row>
    <row r="717" spans="1:4" s="115" customFormat="1">
      <c r="A717" s="114">
        <v>3</v>
      </c>
      <c r="B717" s="114">
        <v>3</v>
      </c>
      <c r="C717" s="58" t="s">
        <v>2460</v>
      </c>
      <c r="D717" s="58" t="s">
        <v>2461</v>
      </c>
    </row>
    <row r="718" spans="1:4" s="115" customFormat="1" ht="29">
      <c r="A718" s="114">
        <v>3</v>
      </c>
      <c r="B718" s="114">
        <v>2</v>
      </c>
      <c r="C718" s="58" t="s">
        <v>598</v>
      </c>
      <c r="D718" s="58" t="s">
        <v>599</v>
      </c>
    </row>
    <row r="719" spans="1:4" s="115" customFormat="1" ht="29">
      <c r="A719" s="114">
        <v>3</v>
      </c>
      <c r="B719" s="114">
        <v>3</v>
      </c>
      <c r="C719" s="58" t="s">
        <v>600</v>
      </c>
      <c r="D719" s="58" t="s">
        <v>2462</v>
      </c>
    </row>
    <row r="720" spans="1:4" s="115" customFormat="1">
      <c r="A720" s="114">
        <v>3</v>
      </c>
      <c r="B720" s="114">
        <v>3</v>
      </c>
      <c r="C720" s="58" t="s">
        <v>601</v>
      </c>
      <c r="D720" s="58" t="s">
        <v>602</v>
      </c>
    </row>
    <row r="721" spans="1:4" s="115" customFormat="1">
      <c r="A721" s="114">
        <v>3</v>
      </c>
      <c r="B721" s="114">
        <v>3</v>
      </c>
      <c r="C721" s="58" t="s">
        <v>603</v>
      </c>
      <c r="D721" s="58" t="s">
        <v>604</v>
      </c>
    </row>
    <row r="722" spans="1:4" s="115" customFormat="1">
      <c r="A722" s="114">
        <v>3</v>
      </c>
      <c r="B722" s="114">
        <v>3</v>
      </c>
      <c r="C722" s="58" t="s">
        <v>605</v>
      </c>
      <c r="D722" s="58" t="s">
        <v>2463</v>
      </c>
    </row>
    <row r="723" spans="1:4" s="115" customFormat="1" ht="29">
      <c r="A723" s="114">
        <v>3</v>
      </c>
      <c r="B723" s="114">
        <v>3</v>
      </c>
      <c r="C723" s="58" t="s">
        <v>606</v>
      </c>
      <c r="D723" s="58" t="s">
        <v>607</v>
      </c>
    </row>
    <row r="724" spans="1:4" s="115" customFormat="1" ht="34" customHeight="1">
      <c r="A724" s="114">
        <v>3</v>
      </c>
      <c r="B724" s="114">
        <v>1</v>
      </c>
      <c r="C724" s="58" t="s">
        <v>2464</v>
      </c>
      <c r="D724" s="58" t="s">
        <v>2981</v>
      </c>
    </row>
    <row r="725" spans="1:4" s="115" customFormat="1">
      <c r="A725" s="114">
        <v>3</v>
      </c>
      <c r="B725" s="114">
        <v>2</v>
      </c>
      <c r="C725" s="58" t="s">
        <v>2465</v>
      </c>
      <c r="D725" s="58" t="s">
        <v>2466</v>
      </c>
    </row>
    <row r="726" spans="1:4" s="115" customFormat="1" ht="22" customHeight="1">
      <c r="A726" s="114">
        <v>3</v>
      </c>
      <c r="B726" s="114">
        <v>2</v>
      </c>
      <c r="C726" s="58" t="s">
        <v>2467</v>
      </c>
      <c r="D726" s="58" t="s">
        <v>3043</v>
      </c>
    </row>
    <row r="727" spans="1:4" s="115" customFormat="1" ht="29">
      <c r="A727" s="114">
        <v>3</v>
      </c>
      <c r="B727" s="114">
        <v>2</v>
      </c>
      <c r="C727" s="58" t="s">
        <v>2468</v>
      </c>
      <c r="D727" s="58" t="s">
        <v>2469</v>
      </c>
    </row>
    <row r="728" spans="1:4" s="115" customFormat="1">
      <c r="A728" s="114">
        <v>3</v>
      </c>
      <c r="B728" s="114">
        <v>2</v>
      </c>
      <c r="C728" s="58" t="s">
        <v>2511</v>
      </c>
      <c r="D728" s="58" t="s">
        <v>2512</v>
      </c>
    </row>
    <row r="729" spans="1:4" s="115" customFormat="1">
      <c r="A729" s="114">
        <v>3</v>
      </c>
      <c r="B729" s="114">
        <v>2</v>
      </c>
      <c r="C729" s="58" t="s">
        <v>2470</v>
      </c>
      <c r="D729" s="58" t="s">
        <v>2471</v>
      </c>
    </row>
    <row r="730" spans="1:4" s="119" customFormat="1">
      <c r="A730" s="114">
        <v>3</v>
      </c>
      <c r="B730" s="114">
        <v>3</v>
      </c>
      <c r="C730" s="58" t="s">
        <v>2472</v>
      </c>
      <c r="D730" s="58" t="s">
        <v>2473</v>
      </c>
    </row>
    <row r="731" spans="1:4" s="119" customFormat="1">
      <c r="A731" s="114">
        <v>3</v>
      </c>
      <c r="B731" s="114">
        <v>3</v>
      </c>
      <c r="C731" s="58" t="s">
        <v>2474</v>
      </c>
      <c r="D731" s="58" t="s">
        <v>2475</v>
      </c>
    </row>
    <row r="732" spans="1:4" s="119" customFormat="1">
      <c r="A732" s="114">
        <v>3</v>
      </c>
      <c r="B732" s="114">
        <v>3</v>
      </c>
      <c r="C732" s="58" t="s">
        <v>2476</v>
      </c>
      <c r="D732" s="58" t="s">
        <v>2477</v>
      </c>
    </row>
    <row r="733" spans="1:4" s="119" customFormat="1">
      <c r="A733" s="114">
        <v>3</v>
      </c>
      <c r="B733" s="114">
        <v>3</v>
      </c>
      <c r="C733" s="58" t="s">
        <v>2478</v>
      </c>
      <c r="D733" s="58" t="s">
        <v>2479</v>
      </c>
    </row>
    <row r="734" spans="1:4" s="119" customFormat="1">
      <c r="A734" s="114">
        <v>3</v>
      </c>
      <c r="B734" s="114">
        <v>3</v>
      </c>
      <c r="C734" s="58" t="s">
        <v>2480</v>
      </c>
      <c r="D734" s="58" t="s">
        <v>2481</v>
      </c>
    </row>
    <row r="735" spans="1:4" s="119" customFormat="1">
      <c r="A735" s="114">
        <v>3</v>
      </c>
      <c r="B735" s="114">
        <v>3</v>
      </c>
      <c r="C735" s="58" t="s">
        <v>2482</v>
      </c>
      <c r="D735" s="58" t="s">
        <v>2483</v>
      </c>
    </row>
    <row r="736" spans="1:4" s="119" customFormat="1">
      <c r="A736" s="114">
        <v>3</v>
      </c>
      <c r="B736" s="114">
        <v>3</v>
      </c>
      <c r="C736" s="58" t="s">
        <v>2484</v>
      </c>
      <c r="D736" s="58" t="s">
        <v>2485</v>
      </c>
    </row>
    <row r="737" spans="1:4" s="119" customFormat="1" ht="21.5" customHeight="1">
      <c r="A737" s="114">
        <v>3</v>
      </c>
      <c r="B737" s="114">
        <v>3</v>
      </c>
      <c r="C737" s="58" t="s">
        <v>3127</v>
      </c>
      <c r="D737" s="58" t="s">
        <v>2486</v>
      </c>
    </row>
    <row r="738" spans="1:4" s="119" customFormat="1">
      <c r="A738" s="114">
        <v>3</v>
      </c>
      <c r="B738" s="114">
        <v>3</v>
      </c>
      <c r="C738" s="58" t="s">
        <v>2487</v>
      </c>
      <c r="D738" s="58" t="s">
        <v>2488</v>
      </c>
    </row>
    <row r="739" spans="1:4" s="119" customFormat="1">
      <c r="A739" s="114">
        <v>3</v>
      </c>
      <c r="B739" s="114">
        <v>3</v>
      </c>
      <c r="C739" s="58" t="s">
        <v>2489</v>
      </c>
      <c r="D739" s="58" t="s">
        <v>2490</v>
      </c>
    </row>
    <row r="740" spans="1:4" s="119" customFormat="1">
      <c r="A740" s="114">
        <v>3</v>
      </c>
      <c r="B740" s="114">
        <v>3</v>
      </c>
      <c r="C740" s="58" t="s">
        <v>2491</v>
      </c>
      <c r="D740" s="58" t="s">
        <v>2492</v>
      </c>
    </row>
    <row r="741" spans="1:4" s="119" customFormat="1">
      <c r="A741" s="114">
        <v>3</v>
      </c>
      <c r="B741" s="114">
        <v>3</v>
      </c>
      <c r="C741" s="58" t="s">
        <v>2493</v>
      </c>
      <c r="D741" s="58" t="s">
        <v>2494</v>
      </c>
    </row>
    <row r="742" spans="1:4" s="119" customFormat="1">
      <c r="A742" s="114">
        <v>3</v>
      </c>
      <c r="B742" s="114">
        <v>3</v>
      </c>
      <c r="C742" s="58" t="s">
        <v>2495</v>
      </c>
      <c r="D742" s="58" t="s">
        <v>2496</v>
      </c>
    </row>
    <row r="743" spans="1:4" s="119" customFormat="1">
      <c r="A743" s="114">
        <v>3</v>
      </c>
      <c r="B743" s="114">
        <v>3</v>
      </c>
      <c r="C743" s="58" t="s">
        <v>2497</v>
      </c>
      <c r="D743" s="58" t="s">
        <v>2498</v>
      </c>
    </row>
    <row r="744" spans="1:4" s="119" customFormat="1" ht="29">
      <c r="A744" s="114">
        <v>3</v>
      </c>
      <c r="B744" s="114">
        <v>2</v>
      </c>
      <c r="C744" s="58" t="s">
        <v>2499</v>
      </c>
      <c r="D744" s="58" t="s">
        <v>2500</v>
      </c>
    </row>
    <row r="745" spans="1:4" s="119" customFormat="1" ht="29">
      <c r="A745" s="114">
        <v>3</v>
      </c>
      <c r="B745" s="114">
        <v>3</v>
      </c>
      <c r="C745" s="58" t="s">
        <v>2501</v>
      </c>
      <c r="D745" s="58" t="s">
        <v>2502</v>
      </c>
    </row>
    <row r="746" spans="1:4" s="115" customFormat="1">
      <c r="A746" s="114">
        <v>3</v>
      </c>
      <c r="B746" s="114">
        <v>3</v>
      </c>
      <c r="C746" s="58" t="s">
        <v>2503</v>
      </c>
      <c r="D746" s="58" t="s">
        <v>2504</v>
      </c>
    </row>
    <row r="747" spans="1:4" s="115" customFormat="1">
      <c r="A747" s="114">
        <v>3</v>
      </c>
      <c r="B747" s="114">
        <v>3</v>
      </c>
      <c r="C747" s="58" t="s">
        <v>2505</v>
      </c>
      <c r="D747" s="58" t="s">
        <v>2506</v>
      </c>
    </row>
    <row r="748" spans="1:4" s="115" customFormat="1" ht="22" customHeight="1">
      <c r="A748" s="114">
        <v>3</v>
      </c>
      <c r="B748" s="114">
        <v>3</v>
      </c>
      <c r="C748" s="58" t="s">
        <v>2507</v>
      </c>
      <c r="D748" s="58" t="s">
        <v>2508</v>
      </c>
    </row>
    <row r="749" spans="1:4" s="115" customFormat="1" ht="29">
      <c r="A749" s="114">
        <v>3</v>
      </c>
      <c r="B749" s="114">
        <v>3</v>
      </c>
      <c r="C749" s="58" t="s">
        <v>2509</v>
      </c>
      <c r="D749" s="58" t="s">
        <v>2510</v>
      </c>
    </row>
    <row r="750" spans="1:4" s="115" customFormat="1" ht="19" customHeight="1">
      <c r="A750" s="114">
        <v>3</v>
      </c>
      <c r="B750" s="114">
        <v>1</v>
      </c>
      <c r="C750" s="58" t="s">
        <v>611</v>
      </c>
      <c r="D750" s="58" t="s">
        <v>612</v>
      </c>
    </row>
    <row r="751" spans="1:4" s="115" customFormat="1">
      <c r="A751" s="114">
        <v>3</v>
      </c>
      <c r="B751" s="114">
        <v>2</v>
      </c>
      <c r="C751" s="58" t="s">
        <v>613</v>
      </c>
      <c r="D751" s="58" t="s">
        <v>614</v>
      </c>
    </row>
    <row r="752" spans="1:4" s="115" customFormat="1" ht="29">
      <c r="A752" s="114">
        <v>3</v>
      </c>
      <c r="B752" s="114">
        <v>2</v>
      </c>
      <c r="C752" s="58" t="s">
        <v>615</v>
      </c>
      <c r="D752" s="58" t="s">
        <v>616</v>
      </c>
    </row>
    <row r="753" spans="1:4" s="115" customFormat="1">
      <c r="A753" s="114">
        <v>3</v>
      </c>
      <c r="B753" s="114">
        <v>2</v>
      </c>
      <c r="C753" s="58" t="s">
        <v>617</v>
      </c>
      <c r="D753" s="58" t="s">
        <v>618</v>
      </c>
    </row>
    <row r="754" spans="1:4" s="115" customFormat="1" ht="23.5" customHeight="1">
      <c r="A754" s="114">
        <v>3</v>
      </c>
      <c r="B754" s="114">
        <v>2</v>
      </c>
      <c r="C754" s="58" t="s">
        <v>619</v>
      </c>
      <c r="D754" s="58" t="s">
        <v>620</v>
      </c>
    </row>
    <row r="755" spans="1:4" s="115" customFormat="1">
      <c r="A755" s="114">
        <v>3</v>
      </c>
      <c r="B755" s="114">
        <v>3</v>
      </c>
      <c r="C755" s="58" t="s">
        <v>621</v>
      </c>
      <c r="D755" s="58" t="s">
        <v>622</v>
      </c>
    </row>
    <row r="756" spans="1:4" s="115" customFormat="1" ht="21.5" customHeight="1">
      <c r="A756" s="114">
        <v>3</v>
      </c>
      <c r="B756" s="114">
        <v>3</v>
      </c>
      <c r="C756" s="58" t="s">
        <v>623</v>
      </c>
      <c r="D756" s="58" t="s">
        <v>624</v>
      </c>
    </row>
    <row r="757" spans="1:4" s="115" customFormat="1" ht="29">
      <c r="A757" s="114">
        <v>3</v>
      </c>
      <c r="B757" s="114">
        <v>3</v>
      </c>
      <c r="C757" s="58" t="s">
        <v>625</v>
      </c>
      <c r="D757" s="58" t="s">
        <v>626</v>
      </c>
    </row>
    <row r="758" spans="1:4" s="115" customFormat="1">
      <c r="A758" s="114">
        <v>3</v>
      </c>
      <c r="B758" s="114">
        <v>2</v>
      </c>
      <c r="C758" s="58" t="s">
        <v>627</v>
      </c>
      <c r="D758" s="58" t="s">
        <v>2513</v>
      </c>
    </row>
    <row r="759" spans="1:4" s="115" customFormat="1">
      <c r="A759" s="114">
        <v>3</v>
      </c>
      <c r="B759" s="114">
        <v>3</v>
      </c>
      <c r="C759" s="58" t="s">
        <v>628</v>
      </c>
      <c r="D759" s="58" t="s">
        <v>32</v>
      </c>
    </row>
    <row r="760" spans="1:4" s="115" customFormat="1" ht="29">
      <c r="A760" s="114">
        <v>3</v>
      </c>
      <c r="B760" s="114">
        <v>3</v>
      </c>
      <c r="C760" s="58" t="s">
        <v>629</v>
      </c>
      <c r="D760" s="58" t="s">
        <v>1320</v>
      </c>
    </row>
    <row r="761" spans="1:4" s="115" customFormat="1" ht="29">
      <c r="A761" s="114">
        <v>3</v>
      </c>
      <c r="B761" s="114">
        <v>3</v>
      </c>
      <c r="C761" s="58" t="s">
        <v>630</v>
      </c>
      <c r="D761" s="58" t="s">
        <v>631</v>
      </c>
    </row>
    <row r="762" spans="1:4" s="115" customFormat="1" ht="29">
      <c r="A762" s="114">
        <v>3</v>
      </c>
      <c r="B762" s="114">
        <v>2</v>
      </c>
      <c r="C762" s="58" t="s">
        <v>632</v>
      </c>
      <c r="D762" s="58" t="s">
        <v>633</v>
      </c>
    </row>
    <row r="763" spans="1:4" s="115" customFormat="1">
      <c r="A763" s="114">
        <v>3</v>
      </c>
      <c r="B763" s="114">
        <v>3</v>
      </c>
      <c r="C763" s="58" t="s">
        <v>634</v>
      </c>
      <c r="D763" s="58" t="s">
        <v>1321</v>
      </c>
    </row>
    <row r="764" spans="1:4" s="115" customFormat="1">
      <c r="A764" s="114">
        <v>3</v>
      </c>
      <c r="B764" s="114">
        <v>3</v>
      </c>
      <c r="C764" s="58" t="s">
        <v>635</v>
      </c>
      <c r="D764" s="58" t="s">
        <v>636</v>
      </c>
    </row>
    <row r="765" spans="1:4" s="115" customFormat="1" ht="18.5" customHeight="1">
      <c r="A765" s="114">
        <v>3</v>
      </c>
      <c r="B765" s="114">
        <v>3</v>
      </c>
      <c r="C765" s="58" t="s">
        <v>637</v>
      </c>
      <c r="D765" s="58" t="s">
        <v>1426</v>
      </c>
    </row>
    <row r="766" spans="1:4" s="115" customFormat="1">
      <c r="A766" s="114">
        <v>3</v>
      </c>
      <c r="B766" s="114">
        <v>2</v>
      </c>
      <c r="C766" s="58" t="s">
        <v>638</v>
      </c>
      <c r="D766" s="58" t="s">
        <v>1322</v>
      </c>
    </row>
    <row r="767" spans="1:4" s="115" customFormat="1">
      <c r="A767" s="114">
        <v>3</v>
      </c>
      <c r="B767" s="114">
        <v>3</v>
      </c>
      <c r="C767" s="58" t="s">
        <v>1931</v>
      </c>
      <c r="D767" s="58" t="s">
        <v>1323</v>
      </c>
    </row>
    <row r="768" spans="1:4" s="115" customFormat="1">
      <c r="A768" s="114">
        <v>3</v>
      </c>
      <c r="B768" s="114">
        <v>3</v>
      </c>
      <c r="C768" s="58" t="s">
        <v>1932</v>
      </c>
      <c r="D768" s="58" t="s">
        <v>1324</v>
      </c>
    </row>
    <row r="769" spans="1:4" s="115" customFormat="1">
      <c r="A769" s="114">
        <v>3</v>
      </c>
      <c r="B769" s="114">
        <v>3</v>
      </c>
      <c r="C769" s="58" t="s">
        <v>1933</v>
      </c>
      <c r="D769" s="58" t="s">
        <v>1325</v>
      </c>
    </row>
    <row r="770" spans="1:4" s="115" customFormat="1">
      <c r="A770" s="114">
        <v>3</v>
      </c>
      <c r="B770" s="114">
        <v>3</v>
      </c>
      <c r="C770" s="58" t="s">
        <v>1934</v>
      </c>
      <c r="D770" s="58" t="s">
        <v>1326</v>
      </c>
    </row>
    <row r="771" spans="1:4" s="115" customFormat="1" ht="29">
      <c r="A771" s="114">
        <v>3</v>
      </c>
      <c r="B771" s="114">
        <v>2</v>
      </c>
      <c r="C771" s="58" t="s">
        <v>639</v>
      </c>
      <c r="D771" s="58" t="s">
        <v>640</v>
      </c>
    </row>
    <row r="772" spans="1:4" s="115" customFormat="1" ht="29">
      <c r="A772" s="114">
        <v>3</v>
      </c>
      <c r="B772" s="114">
        <v>3</v>
      </c>
      <c r="C772" s="58" t="s">
        <v>644</v>
      </c>
      <c r="D772" s="58" t="s">
        <v>2514</v>
      </c>
    </row>
    <row r="773" spans="1:4" s="115" customFormat="1">
      <c r="A773" s="114">
        <v>3</v>
      </c>
      <c r="B773" s="114">
        <v>3</v>
      </c>
      <c r="C773" s="58" t="s">
        <v>641</v>
      </c>
      <c r="D773" s="58" t="s">
        <v>643</v>
      </c>
    </row>
    <row r="774" spans="1:4" s="115" customFormat="1">
      <c r="A774" s="114">
        <v>3</v>
      </c>
      <c r="B774" s="114">
        <v>3</v>
      </c>
      <c r="C774" s="58" t="s">
        <v>642</v>
      </c>
      <c r="D774" s="58" t="s">
        <v>645</v>
      </c>
    </row>
    <row r="775" spans="1:4" s="115" customFormat="1" ht="18.5" customHeight="1">
      <c r="A775" s="114">
        <v>3</v>
      </c>
      <c r="B775" s="114">
        <v>3</v>
      </c>
      <c r="C775" s="58" t="s">
        <v>646</v>
      </c>
      <c r="D775" s="58" t="s">
        <v>1327</v>
      </c>
    </row>
    <row r="776" spans="1:4" s="115" customFormat="1" ht="29">
      <c r="A776" s="114">
        <v>3</v>
      </c>
      <c r="B776" s="114">
        <v>3</v>
      </c>
      <c r="C776" s="58" t="s">
        <v>647</v>
      </c>
      <c r="D776" s="58" t="s">
        <v>648</v>
      </c>
    </row>
    <row r="777" spans="1:4" s="119" customFormat="1" ht="43.5">
      <c r="A777" s="114">
        <v>3</v>
      </c>
      <c r="B777" s="114">
        <v>1</v>
      </c>
      <c r="C777" s="58" t="s">
        <v>700</v>
      </c>
      <c r="D777" s="58" t="s">
        <v>2558</v>
      </c>
    </row>
    <row r="778" spans="1:4" s="119" customFormat="1">
      <c r="A778" s="114">
        <v>3</v>
      </c>
      <c r="B778" s="114">
        <v>2</v>
      </c>
      <c r="C778" s="58" t="s">
        <v>701</v>
      </c>
      <c r="D778" s="58" t="s">
        <v>702</v>
      </c>
    </row>
    <row r="779" spans="1:4" s="119" customFormat="1" ht="29">
      <c r="A779" s="114">
        <v>3</v>
      </c>
      <c r="B779" s="114">
        <v>2</v>
      </c>
      <c r="C779" s="58" t="s">
        <v>2559</v>
      </c>
      <c r="D779" s="58" t="s">
        <v>1328</v>
      </c>
    </row>
    <row r="780" spans="1:4" s="119" customFormat="1" ht="29">
      <c r="A780" s="114">
        <v>3</v>
      </c>
      <c r="B780" s="114">
        <v>3</v>
      </c>
      <c r="C780" s="58" t="s">
        <v>2560</v>
      </c>
      <c r="D780" s="58" t="s">
        <v>1329</v>
      </c>
    </row>
    <row r="781" spans="1:4" s="119" customFormat="1" ht="29">
      <c r="A781" s="114">
        <v>3</v>
      </c>
      <c r="B781" s="114">
        <v>3</v>
      </c>
      <c r="C781" s="58" t="s">
        <v>2561</v>
      </c>
      <c r="D781" s="58" t="s">
        <v>3200</v>
      </c>
    </row>
    <row r="782" spans="1:4" s="119" customFormat="1" ht="29">
      <c r="A782" s="114">
        <v>3</v>
      </c>
      <c r="B782" s="114">
        <v>3</v>
      </c>
      <c r="C782" s="58" t="s">
        <v>2562</v>
      </c>
      <c r="D782" s="58" t="s">
        <v>2563</v>
      </c>
    </row>
    <row r="783" spans="1:4" s="119" customFormat="1" ht="26" customHeight="1">
      <c r="A783" s="114">
        <v>3</v>
      </c>
      <c r="B783" s="114">
        <v>2</v>
      </c>
      <c r="C783" s="58" t="s">
        <v>2719</v>
      </c>
      <c r="D783" s="58" t="s">
        <v>2564</v>
      </c>
    </row>
    <row r="784" spans="1:4" s="119" customFormat="1" ht="29">
      <c r="A784" s="114">
        <v>3</v>
      </c>
      <c r="B784" s="114">
        <v>3</v>
      </c>
      <c r="C784" s="58" t="s">
        <v>2565</v>
      </c>
      <c r="D784" s="58" t="s">
        <v>2566</v>
      </c>
    </row>
    <row r="785" spans="1:4" s="119" customFormat="1" ht="29">
      <c r="A785" s="114">
        <v>3</v>
      </c>
      <c r="B785" s="114">
        <v>3</v>
      </c>
      <c r="C785" s="58" t="s">
        <v>2567</v>
      </c>
      <c r="D785" s="58" t="s">
        <v>2568</v>
      </c>
    </row>
    <row r="786" spans="1:4" s="119" customFormat="1" ht="29">
      <c r="A786" s="114">
        <v>3</v>
      </c>
      <c r="B786" s="114">
        <v>3</v>
      </c>
      <c r="C786" s="58" t="s">
        <v>2569</v>
      </c>
      <c r="D786" s="58" t="s">
        <v>2570</v>
      </c>
    </row>
    <row r="787" spans="1:4" s="119" customFormat="1" ht="43.5">
      <c r="A787" s="114">
        <v>3</v>
      </c>
      <c r="B787" s="114">
        <v>2</v>
      </c>
      <c r="C787" s="58" t="s">
        <v>703</v>
      </c>
      <c r="D787" s="58" t="s">
        <v>3206</v>
      </c>
    </row>
    <row r="788" spans="1:4" s="119" customFormat="1">
      <c r="A788" s="114">
        <v>3</v>
      </c>
      <c r="B788" s="114">
        <v>3</v>
      </c>
      <c r="C788" s="58" t="s">
        <v>704</v>
      </c>
      <c r="D788" s="58" t="s">
        <v>1330</v>
      </c>
    </row>
    <row r="789" spans="1:4" s="119" customFormat="1" ht="29">
      <c r="A789" s="114">
        <v>3</v>
      </c>
      <c r="B789" s="114">
        <v>3</v>
      </c>
      <c r="C789" s="58" t="s">
        <v>2571</v>
      </c>
      <c r="D789" s="58" t="s">
        <v>1331</v>
      </c>
    </row>
    <row r="790" spans="1:4" s="115" customFormat="1">
      <c r="A790" s="114">
        <v>3</v>
      </c>
      <c r="B790" s="114">
        <v>3</v>
      </c>
      <c r="C790" s="58" t="s">
        <v>705</v>
      </c>
      <c r="D790" s="58" t="s">
        <v>1332</v>
      </c>
    </row>
    <row r="791" spans="1:4" s="115" customFormat="1" ht="29">
      <c r="A791" s="114">
        <v>3</v>
      </c>
      <c r="B791" s="114">
        <v>2</v>
      </c>
      <c r="C791" s="58" t="s">
        <v>706</v>
      </c>
      <c r="D791" s="58" t="s">
        <v>2572</v>
      </c>
    </row>
    <row r="792" spans="1:4" s="115" customFormat="1" ht="29">
      <c r="A792" s="114">
        <v>3</v>
      </c>
      <c r="B792" s="114">
        <v>2</v>
      </c>
      <c r="C792" s="58" t="s">
        <v>2573</v>
      </c>
      <c r="D792" s="58" t="s">
        <v>2574</v>
      </c>
    </row>
    <row r="793" spans="1:4" s="115" customFormat="1">
      <c r="A793" s="114">
        <v>3</v>
      </c>
      <c r="B793" s="114">
        <v>2</v>
      </c>
      <c r="C793" s="58" t="s">
        <v>707</v>
      </c>
      <c r="D793" s="58" t="s">
        <v>1333</v>
      </c>
    </row>
    <row r="794" spans="1:4" s="115" customFormat="1">
      <c r="A794" s="114">
        <v>3</v>
      </c>
      <c r="B794" s="114">
        <v>3</v>
      </c>
      <c r="C794" s="58" t="s">
        <v>3128</v>
      </c>
      <c r="D794" s="58" t="s">
        <v>2721</v>
      </c>
    </row>
    <row r="795" spans="1:4" s="115" customFormat="1" ht="22.5" customHeight="1">
      <c r="A795" s="114">
        <v>3</v>
      </c>
      <c r="B795" s="114">
        <v>3</v>
      </c>
      <c r="C795" s="58" t="s">
        <v>3129</v>
      </c>
      <c r="D795" s="58" t="s">
        <v>2575</v>
      </c>
    </row>
    <row r="796" spans="1:4" s="115" customFormat="1">
      <c r="A796" s="114">
        <v>3</v>
      </c>
      <c r="B796" s="114">
        <v>3</v>
      </c>
      <c r="C796" s="58" t="s">
        <v>3130</v>
      </c>
      <c r="D796" s="58" t="s">
        <v>1334</v>
      </c>
    </row>
    <row r="797" spans="1:4" s="115" customFormat="1" ht="29">
      <c r="A797" s="114">
        <v>3</v>
      </c>
      <c r="B797" s="114">
        <v>3</v>
      </c>
      <c r="C797" s="58" t="s">
        <v>3219</v>
      </c>
      <c r="D797" s="58" t="s">
        <v>1335</v>
      </c>
    </row>
    <row r="798" spans="1:4" s="115" customFormat="1">
      <c r="A798" s="114">
        <v>3</v>
      </c>
      <c r="B798" s="114">
        <v>3</v>
      </c>
      <c r="C798" s="58" t="s">
        <v>3131</v>
      </c>
      <c r="D798" s="58" t="s">
        <v>1336</v>
      </c>
    </row>
    <row r="799" spans="1:4" s="115" customFormat="1">
      <c r="A799" s="114">
        <v>3</v>
      </c>
      <c r="B799" s="114">
        <v>3</v>
      </c>
      <c r="C799" s="58" t="s">
        <v>3132</v>
      </c>
      <c r="D799" s="58" t="s">
        <v>1337</v>
      </c>
    </row>
    <row r="800" spans="1:4" s="115" customFormat="1">
      <c r="A800" s="114">
        <v>3</v>
      </c>
      <c r="B800" s="114">
        <v>3</v>
      </c>
      <c r="C800" s="58" t="s">
        <v>3133</v>
      </c>
      <c r="D800" s="58" t="s">
        <v>1338</v>
      </c>
    </row>
    <row r="801" spans="1:4" s="115" customFormat="1">
      <c r="A801" s="114">
        <v>3</v>
      </c>
      <c r="B801" s="114">
        <v>3</v>
      </c>
      <c r="C801" s="58" t="s">
        <v>3134</v>
      </c>
      <c r="D801" s="58" t="s">
        <v>1339</v>
      </c>
    </row>
    <row r="802" spans="1:4" s="115" customFormat="1">
      <c r="A802" s="114">
        <v>3</v>
      </c>
      <c r="B802" s="114">
        <v>3</v>
      </c>
      <c r="C802" s="58" t="s">
        <v>3135</v>
      </c>
      <c r="D802" s="58" t="s">
        <v>1340</v>
      </c>
    </row>
    <row r="803" spans="1:4" s="115" customFormat="1">
      <c r="A803" s="114">
        <v>3</v>
      </c>
      <c r="B803" s="114">
        <v>3</v>
      </c>
      <c r="C803" s="58" t="s">
        <v>3220</v>
      </c>
      <c r="D803" s="58" t="s">
        <v>1341</v>
      </c>
    </row>
    <row r="804" spans="1:4" s="115" customFormat="1">
      <c r="A804" s="114">
        <v>3</v>
      </c>
      <c r="B804" s="114">
        <v>3</v>
      </c>
      <c r="C804" s="58" t="s">
        <v>3136</v>
      </c>
      <c r="D804" s="58" t="s">
        <v>708</v>
      </c>
    </row>
    <row r="805" spans="1:4" s="115" customFormat="1">
      <c r="A805" s="114">
        <v>3</v>
      </c>
      <c r="B805" s="114">
        <v>3</v>
      </c>
      <c r="C805" s="58" t="s">
        <v>3137</v>
      </c>
      <c r="D805" s="58" t="s">
        <v>709</v>
      </c>
    </row>
    <row r="806" spans="1:4" s="115" customFormat="1" ht="29">
      <c r="A806" s="114">
        <v>3</v>
      </c>
      <c r="B806" s="114">
        <v>2</v>
      </c>
      <c r="C806" s="58" t="s">
        <v>710</v>
      </c>
      <c r="D806" s="58" t="s">
        <v>711</v>
      </c>
    </row>
    <row r="807" spans="1:4" s="115" customFormat="1" ht="29">
      <c r="A807" s="114">
        <v>3</v>
      </c>
      <c r="B807" s="114">
        <v>3</v>
      </c>
      <c r="C807" s="58" t="s">
        <v>712</v>
      </c>
      <c r="D807" s="58" t="s">
        <v>2576</v>
      </c>
    </row>
    <row r="808" spans="1:4" s="115" customFormat="1">
      <c r="A808" s="114">
        <v>3</v>
      </c>
      <c r="B808" s="114">
        <v>3</v>
      </c>
      <c r="C808" s="58" t="s">
        <v>713</v>
      </c>
      <c r="D808" s="58" t="s">
        <v>714</v>
      </c>
    </row>
    <row r="809" spans="1:4" s="115" customFormat="1">
      <c r="A809" s="114">
        <v>3</v>
      </c>
      <c r="B809" s="114">
        <v>3</v>
      </c>
      <c r="C809" s="58" t="s">
        <v>715</v>
      </c>
      <c r="D809" s="58" t="s">
        <v>716</v>
      </c>
    </row>
    <row r="810" spans="1:4" s="115" customFormat="1" ht="29">
      <c r="A810" s="114">
        <v>3</v>
      </c>
      <c r="B810" s="114">
        <v>3</v>
      </c>
      <c r="C810" s="58" t="s">
        <v>717</v>
      </c>
      <c r="D810" s="58" t="s">
        <v>3138</v>
      </c>
    </row>
    <row r="811" spans="1:4" s="115" customFormat="1" ht="29">
      <c r="A811" s="114">
        <v>3</v>
      </c>
      <c r="B811" s="114">
        <v>3</v>
      </c>
      <c r="C811" s="58" t="s">
        <v>718</v>
      </c>
      <c r="D811" s="58" t="s">
        <v>719</v>
      </c>
    </row>
    <row r="812" spans="1:4" s="115" customFormat="1">
      <c r="A812" s="114">
        <v>3</v>
      </c>
      <c r="B812" s="114">
        <v>4</v>
      </c>
      <c r="C812" s="58" t="s">
        <v>720</v>
      </c>
      <c r="D812" s="58" t="s">
        <v>2577</v>
      </c>
    </row>
    <row r="813" spans="1:4" s="115" customFormat="1" ht="29">
      <c r="A813" s="114">
        <v>3</v>
      </c>
      <c r="B813" s="114">
        <v>4</v>
      </c>
      <c r="C813" s="58" t="s">
        <v>721</v>
      </c>
      <c r="D813" s="58" t="s">
        <v>722</v>
      </c>
    </row>
    <row r="814" spans="1:4" s="115" customFormat="1" ht="23" customHeight="1">
      <c r="A814" s="114">
        <v>3</v>
      </c>
      <c r="B814" s="114">
        <v>1</v>
      </c>
      <c r="C814" s="58" t="s">
        <v>723</v>
      </c>
      <c r="D814" s="58" t="s">
        <v>2578</v>
      </c>
    </row>
    <row r="815" spans="1:4" s="115" customFormat="1">
      <c r="A815" s="114">
        <v>3</v>
      </c>
      <c r="B815" s="114">
        <v>2</v>
      </c>
      <c r="C815" s="58" t="s">
        <v>724</v>
      </c>
      <c r="D815" s="58" t="s">
        <v>725</v>
      </c>
    </row>
    <row r="816" spans="1:4" s="115" customFormat="1">
      <c r="A816" s="114">
        <v>3</v>
      </c>
      <c r="B816" s="114">
        <v>2</v>
      </c>
      <c r="C816" s="58" t="s">
        <v>2579</v>
      </c>
      <c r="D816" s="58" t="s">
        <v>2580</v>
      </c>
    </row>
    <row r="817" spans="1:4" s="115" customFormat="1" ht="29">
      <c r="A817" s="114">
        <v>3</v>
      </c>
      <c r="B817" s="114">
        <v>2</v>
      </c>
      <c r="C817" s="58" t="s">
        <v>726</v>
      </c>
      <c r="D817" s="58" t="s">
        <v>727</v>
      </c>
    </row>
    <row r="818" spans="1:4" s="115" customFormat="1">
      <c r="A818" s="114">
        <v>3</v>
      </c>
      <c r="B818" s="114">
        <v>3</v>
      </c>
      <c r="C818" s="58" t="s">
        <v>728</v>
      </c>
      <c r="D818" s="58" t="s">
        <v>729</v>
      </c>
    </row>
    <row r="819" spans="1:4" s="115" customFormat="1">
      <c r="A819" s="114">
        <v>3</v>
      </c>
      <c r="B819" s="114">
        <v>3</v>
      </c>
      <c r="C819" s="58" t="s">
        <v>730</v>
      </c>
      <c r="D819" s="58" t="s">
        <v>731</v>
      </c>
    </row>
    <row r="820" spans="1:4" s="115" customFormat="1" ht="29">
      <c r="A820" s="114">
        <v>3</v>
      </c>
      <c r="B820" s="114">
        <v>3</v>
      </c>
      <c r="C820" s="58" t="s">
        <v>732</v>
      </c>
      <c r="D820" s="58" t="s">
        <v>2581</v>
      </c>
    </row>
    <row r="821" spans="1:4" s="115" customFormat="1" ht="29">
      <c r="A821" s="114">
        <v>3</v>
      </c>
      <c r="B821" s="114">
        <v>2</v>
      </c>
      <c r="C821" s="58" t="s">
        <v>733</v>
      </c>
      <c r="D821" s="58" t="s">
        <v>1941</v>
      </c>
    </row>
    <row r="822" spans="1:4" s="119" customFormat="1">
      <c r="A822" s="114">
        <v>3</v>
      </c>
      <c r="B822" s="114">
        <v>3</v>
      </c>
      <c r="C822" s="58" t="s">
        <v>734</v>
      </c>
      <c r="D822" s="58" t="s">
        <v>735</v>
      </c>
    </row>
    <row r="823" spans="1:4" s="119" customFormat="1" ht="29">
      <c r="A823" s="114">
        <v>3</v>
      </c>
      <c r="B823" s="114">
        <v>3</v>
      </c>
      <c r="C823" s="58" t="s">
        <v>736</v>
      </c>
      <c r="D823" s="58" t="s">
        <v>737</v>
      </c>
    </row>
    <row r="824" spans="1:4" s="119" customFormat="1">
      <c r="A824" s="114">
        <v>3</v>
      </c>
      <c r="B824" s="114">
        <v>2</v>
      </c>
      <c r="C824" s="58" t="s">
        <v>738</v>
      </c>
      <c r="D824" s="58" t="s">
        <v>2722</v>
      </c>
    </row>
    <row r="825" spans="1:4" s="119" customFormat="1">
      <c r="A825" s="114">
        <v>3</v>
      </c>
      <c r="B825" s="114">
        <v>3</v>
      </c>
      <c r="C825" s="58" t="s">
        <v>1942</v>
      </c>
      <c r="D825" s="58" t="s">
        <v>1342</v>
      </c>
    </row>
    <row r="826" spans="1:4" s="119" customFormat="1">
      <c r="A826" s="114">
        <v>3</v>
      </c>
      <c r="B826" s="114">
        <v>3</v>
      </c>
      <c r="C826" s="58" t="s">
        <v>1943</v>
      </c>
      <c r="D826" s="58" t="s">
        <v>1343</v>
      </c>
    </row>
    <row r="827" spans="1:4" s="119" customFormat="1">
      <c r="A827" s="114">
        <v>3</v>
      </c>
      <c r="B827" s="114">
        <v>3</v>
      </c>
      <c r="C827" s="58" t="s">
        <v>1944</v>
      </c>
      <c r="D827" s="58" t="s">
        <v>1344</v>
      </c>
    </row>
    <row r="828" spans="1:4" s="119" customFormat="1">
      <c r="A828" s="114">
        <v>3</v>
      </c>
      <c r="B828" s="114">
        <v>3</v>
      </c>
      <c r="C828" s="58" t="s">
        <v>2582</v>
      </c>
      <c r="D828" s="58" t="s">
        <v>1345</v>
      </c>
    </row>
    <row r="829" spans="1:4" s="119" customFormat="1">
      <c r="A829" s="114">
        <v>3</v>
      </c>
      <c r="B829" s="114">
        <v>3</v>
      </c>
      <c r="C829" s="58" t="s">
        <v>1945</v>
      </c>
      <c r="D829" s="58" t="s">
        <v>1346</v>
      </c>
    </row>
    <row r="830" spans="1:4" s="119" customFormat="1">
      <c r="A830" s="114">
        <v>3</v>
      </c>
      <c r="B830" s="114">
        <v>3</v>
      </c>
      <c r="C830" s="58" t="s">
        <v>1946</v>
      </c>
      <c r="D830" s="58" t="s">
        <v>1347</v>
      </c>
    </row>
    <row r="831" spans="1:4" s="119" customFormat="1">
      <c r="A831" s="114">
        <v>3</v>
      </c>
      <c r="B831" s="114">
        <v>3</v>
      </c>
      <c r="C831" s="58" t="s">
        <v>1947</v>
      </c>
      <c r="D831" s="58" t="s">
        <v>1348</v>
      </c>
    </row>
    <row r="832" spans="1:4" s="119" customFormat="1">
      <c r="A832" s="114">
        <v>3</v>
      </c>
      <c r="B832" s="114">
        <v>3</v>
      </c>
      <c r="C832" s="58" t="s">
        <v>1948</v>
      </c>
      <c r="D832" s="58" t="s">
        <v>1349</v>
      </c>
    </row>
    <row r="833" spans="1:4" s="119" customFormat="1">
      <c r="A833" s="114">
        <v>3</v>
      </c>
      <c r="B833" s="114">
        <v>3</v>
      </c>
      <c r="C833" s="58" t="s">
        <v>1949</v>
      </c>
      <c r="D833" s="58" t="s">
        <v>1350</v>
      </c>
    </row>
    <row r="834" spans="1:4" s="119" customFormat="1">
      <c r="A834" s="114">
        <v>3</v>
      </c>
      <c r="B834" s="114">
        <v>3</v>
      </c>
      <c r="C834" s="58" t="s">
        <v>1950</v>
      </c>
      <c r="D834" s="58" t="s">
        <v>1351</v>
      </c>
    </row>
    <row r="835" spans="1:4" s="119" customFormat="1">
      <c r="A835" s="114">
        <v>3</v>
      </c>
      <c r="B835" s="114">
        <v>3</v>
      </c>
      <c r="C835" s="58" t="s">
        <v>1951</v>
      </c>
      <c r="D835" s="58" t="s">
        <v>1352</v>
      </c>
    </row>
    <row r="836" spans="1:4" s="119" customFormat="1">
      <c r="A836" s="114">
        <v>3</v>
      </c>
      <c r="B836" s="114">
        <v>3</v>
      </c>
      <c r="C836" s="58" t="s">
        <v>1952</v>
      </c>
      <c r="D836" s="58" t="s">
        <v>1353</v>
      </c>
    </row>
    <row r="837" spans="1:4" s="119" customFormat="1">
      <c r="A837" s="114">
        <v>3</v>
      </c>
      <c r="B837" s="114">
        <v>3</v>
      </c>
      <c r="C837" s="58" t="s">
        <v>3139</v>
      </c>
      <c r="D837" s="58" t="s">
        <v>1354</v>
      </c>
    </row>
    <row r="838" spans="1:4" s="119" customFormat="1">
      <c r="A838" s="114">
        <v>3</v>
      </c>
      <c r="B838" s="114">
        <v>3</v>
      </c>
      <c r="C838" s="58" t="s">
        <v>3140</v>
      </c>
      <c r="D838" s="58" t="s">
        <v>1355</v>
      </c>
    </row>
    <row r="839" spans="1:4" s="119" customFormat="1">
      <c r="A839" s="114">
        <v>3</v>
      </c>
      <c r="B839" s="114">
        <v>3</v>
      </c>
      <c r="C839" s="58" t="s">
        <v>1953</v>
      </c>
      <c r="D839" s="58" t="s">
        <v>1356</v>
      </c>
    </row>
    <row r="840" spans="1:4" s="119" customFormat="1">
      <c r="A840" s="114">
        <v>3</v>
      </c>
      <c r="B840" s="114">
        <v>3</v>
      </c>
      <c r="C840" s="58" t="s">
        <v>3141</v>
      </c>
      <c r="D840" s="58" t="s">
        <v>1357</v>
      </c>
    </row>
    <row r="841" spans="1:4" s="119" customFormat="1">
      <c r="A841" s="114">
        <v>3</v>
      </c>
      <c r="B841" s="114">
        <v>3</v>
      </c>
      <c r="C841" s="58" t="s">
        <v>3142</v>
      </c>
      <c r="D841" s="58" t="s">
        <v>1358</v>
      </c>
    </row>
    <row r="842" spans="1:4" s="119" customFormat="1">
      <c r="A842" s="114">
        <v>3</v>
      </c>
      <c r="B842" s="114">
        <v>3</v>
      </c>
      <c r="C842" s="58" t="s">
        <v>1954</v>
      </c>
      <c r="D842" s="58" t="s">
        <v>1359</v>
      </c>
    </row>
    <row r="843" spans="1:4" s="119" customFormat="1" ht="29">
      <c r="A843" s="114">
        <v>3</v>
      </c>
      <c r="B843" s="114">
        <v>2</v>
      </c>
      <c r="C843" s="58" t="s">
        <v>739</v>
      </c>
      <c r="D843" s="58" t="s">
        <v>740</v>
      </c>
    </row>
    <row r="844" spans="1:4" s="119" customFormat="1" ht="29">
      <c r="A844" s="114">
        <v>3</v>
      </c>
      <c r="B844" s="114">
        <v>3</v>
      </c>
      <c r="C844" s="58" t="s">
        <v>2723</v>
      </c>
      <c r="D844" s="58" t="s">
        <v>2724</v>
      </c>
    </row>
    <row r="845" spans="1:4" s="119" customFormat="1">
      <c r="A845" s="114">
        <v>3</v>
      </c>
      <c r="B845" s="114">
        <v>3</v>
      </c>
      <c r="C845" s="58" t="s">
        <v>741</v>
      </c>
      <c r="D845" s="58" t="s">
        <v>1360</v>
      </c>
    </row>
    <row r="846" spans="1:4" s="119" customFormat="1">
      <c r="A846" s="114">
        <v>3</v>
      </c>
      <c r="B846" s="114">
        <v>3</v>
      </c>
      <c r="C846" s="58" t="s">
        <v>742</v>
      </c>
      <c r="D846" s="58" t="s">
        <v>1361</v>
      </c>
    </row>
    <row r="847" spans="1:4" s="119" customFormat="1" ht="21" customHeight="1">
      <c r="A847" s="114">
        <v>3</v>
      </c>
      <c r="B847" s="114">
        <v>3</v>
      </c>
      <c r="C847" s="58" t="s">
        <v>743</v>
      </c>
      <c r="D847" s="58" t="s">
        <v>2583</v>
      </c>
    </row>
    <row r="848" spans="1:4" s="119" customFormat="1" ht="29">
      <c r="A848" s="114">
        <v>3</v>
      </c>
      <c r="B848" s="114">
        <v>3</v>
      </c>
      <c r="C848" s="58" t="s">
        <v>744</v>
      </c>
      <c r="D848" s="58" t="s">
        <v>745</v>
      </c>
    </row>
    <row r="849" spans="1:4" s="119" customFormat="1" ht="29">
      <c r="A849" s="114">
        <v>3</v>
      </c>
      <c r="B849" s="114">
        <v>1</v>
      </c>
      <c r="C849" s="58" t="s">
        <v>746</v>
      </c>
      <c r="D849" s="58" t="s">
        <v>2584</v>
      </c>
    </row>
    <row r="850" spans="1:4" s="119" customFormat="1" ht="18" customHeight="1">
      <c r="A850" s="114">
        <v>3</v>
      </c>
      <c r="B850" s="114">
        <v>2</v>
      </c>
      <c r="C850" s="58" t="s">
        <v>747</v>
      </c>
      <c r="D850" s="58" t="s">
        <v>748</v>
      </c>
    </row>
    <row r="851" spans="1:4" s="119" customFormat="1" ht="29">
      <c r="A851" s="114">
        <v>3</v>
      </c>
      <c r="B851" s="114">
        <v>2</v>
      </c>
      <c r="C851" s="58" t="s">
        <v>749</v>
      </c>
      <c r="D851" s="58" t="s">
        <v>750</v>
      </c>
    </row>
    <row r="852" spans="1:4" s="119" customFormat="1">
      <c r="A852" s="114">
        <v>3</v>
      </c>
      <c r="B852" s="114">
        <v>3</v>
      </c>
      <c r="C852" s="58" t="s">
        <v>751</v>
      </c>
      <c r="D852" s="58" t="s">
        <v>752</v>
      </c>
    </row>
    <row r="853" spans="1:4" s="119" customFormat="1">
      <c r="A853" s="114">
        <v>3</v>
      </c>
      <c r="B853" s="114">
        <v>3</v>
      </c>
      <c r="C853" s="58" t="s">
        <v>753</v>
      </c>
      <c r="D853" s="58" t="s">
        <v>754</v>
      </c>
    </row>
    <row r="854" spans="1:4" s="119" customFormat="1" ht="29">
      <c r="A854" s="114">
        <v>3</v>
      </c>
      <c r="B854" s="114">
        <v>3</v>
      </c>
      <c r="C854" s="58" t="s">
        <v>755</v>
      </c>
      <c r="D854" s="58" t="s">
        <v>756</v>
      </c>
    </row>
    <row r="855" spans="1:4" s="119" customFormat="1" ht="22" customHeight="1">
      <c r="A855" s="114">
        <v>3</v>
      </c>
      <c r="B855" s="114">
        <v>3</v>
      </c>
      <c r="C855" s="58" t="s">
        <v>757</v>
      </c>
      <c r="D855" s="58" t="s">
        <v>758</v>
      </c>
    </row>
    <row r="856" spans="1:4" s="119" customFormat="1">
      <c r="A856" s="114">
        <v>3</v>
      </c>
      <c r="B856" s="114">
        <v>2</v>
      </c>
      <c r="C856" s="58" t="s">
        <v>759</v>
      </c>
      <c r="D856" s="58" t="s">
        <v>1955</v>
      </c>
    </row>
    <row r="857" spans="1:4" s="119" customFormat="1" ht="29">
      <c r="A857" s="114">
        <v>3</v>
      </c>
      <c r="B857" s="114">
        <v>2</v>
      </c>
      <c r="C857" s="58" t="s">
        <v>760</v>
      </c>
      <c r="D857" s="58" t="s">
        <v>761</v>
      </c>
    </row>
    <row r="858" spans="1:4" s="119" customFormat="1">
      <c r="A858" s="114">
        <v>3</v>
      </c>
      <c r="B858" s="114">
        <v>2</v>
      </c>
      <c r="C858" s="58" t="s">
        <v>762</v>
      </c>
      <c r="D858" s="58" t="s">
        <v>2585</v>
      </c>
    </row>
    <row r="859" spans="1:4" s="119" customFormat="1" ht="24.5" customHeight="1">
      <c r="A859" s="114">
        <v>3</v>
      </c>
      <c r="B859" s="114">
        <v>2</v>
      </c>
      <c r="C859" s="58" t="s">
        <v>763</v>
      </c>
      <c r="D859" s="58" t="s">
        <v>764</v>
      </c>
    </row>
    <row r="860" spans="1:4" s="119" customFormat="1" ht="21.5" customHeight="1">
      <c r="A860" s="114">
        <v>3</v>
      </c>
      <c r="B860" s="114">
        <v>3</v>
      </c>
      <c r="C860" s="58" t="s">
        <v>765</v>
      </c>
      <c r="D860" s="58" t="s">
        <v>766</v>
      </c>
    </row>
    <row r="861" spans="1:4" s="119" customFormat="1">
      <c r="A861" s="114">
        <v>3</v>
      </c>
      <c r="B861" s="114">
        <v>4</v>
      </c>
      <c r="C861" s="58" t="s">
        <v>767</v>
      </c>
      <c r="D861" s="58" t="s">
        <v>768</v>
      </c>
    </row>
    <row r="862" spans="1:4" s="119" customFormat="1">
      <c r="A862" s="114">
        <v>3</v>
      </c>
      <c r="B862" s="114">
        <v>4</v>
      </c>
      <c r="C862" s="58" t="s">
        <v>769</v>
      </c>
      <c r="D862" s="58" t="s">
        <v>770</v>
      </c>
    </row>
    <row r="863" spans="1:4" s="119" customFormat="1" ht="24.5" customHeight="1">
      <c r="A863" s="114">
        <v>3</v>
      </c>
      <c r="B863" s="114">
        <v>3</v>
      </c>
      <c r="C863" s="58" t="s">
        <v>771</v>
      </c>
      <c r="D863" s="58" t="s">
        <v>772</v>
      </c>
    </row>
    <row r="864" spans="1:4" s="119" customFormat="1" ht="23" customHeight="1">
      <c r="A864" s="114">
        <v>3</v>
      </c>
      <c r="B864" s="114">
        <v>4</v>
      </c>
      <c r="C864" s="58" t="s">
        <v>773</v>
      </c>
      <c r="D864" s="58" t="s">
        <v>774</v>
      </c>
    </row>
    <row r="865" spans="1:4" s="119" customFormat="1" ht="35.5" customHeight="1">
      <c r="A865" s="114">
        <v>3</v>
      </c>
      <c r="B865" s="114">
        <v>4</v>
      </c>
      <c r="C865" s="58" t="s">
        <v>775</v>
      </c>
      <c r="D865" s="58" t="s">
        <v>1362</v>
      </c>
    </row>
    <row r="866" spans="1:4" s="119" customFormat="1" ht="30.5" customHeight="1">
      <c r="A866" s="114">
        <v>3</v>
      </c>
      <c r="B866" s="114">
        <v>3</v>
      </c>
      <c r="C866" s="58" t="s">
        <v>776</v>
      </c>
      <c r="D866" s="58" t="s">
        <v>1363</v>
      </c>
    </row>
    <row r="867" spans="1:4" s="119" customFormat="1" ht="22.5" customHeight="1">
      <c r="A867" s="114">
        <v>3</v>
      </c>
      <c r="B867" s="114">
        <v>4</v>
      </c>
      <c r="C867" s="58" t="s">
        <v>777</v>
      </c>
      <c r="D867" s="58" t="s">
        <v>2586</v>
      </c>
    </row>
    <row r="868" spans="1:4" s="119" customFormat="1" ht="28.5" customHeight="1">
      <c r="A868" s="114">
        <v>3</v>
      </c>
      <c r="B868" s="114">
        <v>4</v>
      </c>
      <c r="C868" s="58" t="s">
        <v>778</v>
      </c>
      <c r="D868" s="58" t="s">
        <v>1364</v>
      </c>
    </row>
    <row r="869" spans="1:4" s="119" customFormat="1" ht="29">
      <c r="A869" s="114">
        <v>3</v>
      </c>
      <c r="B869" s="114">
        <v>4</v>
      </c>
      <c r="C869" s="58" t="s">
        <v>779</v>
      </c>
      <c r="D869" s="58" t="s">
        <v>626</v>
      </c>
    </row>
    <row r="870" spans="1:4" s="119" customFormat="1" ht="29">
      <c r="A870" s="114">
        <v>3</v>
      </c>
      <c r="B870" s="114">
        <v>2</v>
      </c>
      <c r="C870" s="58" t="s">
        <v>780</v>
      </c>
      <c r="D870" s="58" t="s">
        <v>781</v>
      </c>
    </row>
    <row r="871" spans="1:4" s="119" customFormat="1">
      <c r="A871" s="114">
        <v>3</v>
      </c>
      <c r="B871" s="114">
        <v>3</v>
      </c>
      <c r="C871" s="58" t="s">
        <v>1956</v>
      </c>
      <c r="D871" s="58" t="s">
        <v>782</v>
      </c>
    </row>
    <row r="872" spans="1:4" s="119" customFormat="1" ht="29">
      <c r="A872" s="114">
        <v>3</v>
      </c>
      <c r="B872" s="114">
        <v>3</v>
      </c>
      <c r="C872" s="58" t="s">
        <v>783</v>
      </c>
      <c r="D872" s="58" t="s">
        <v>784</v>
      </c>
    </row>
    <row r="873" spans="1:4" s="119" customFormat="1" ht="23" customHeight="1">
      <c r="A873" s="114">
        <v>3</v>
      </c>
      <c r="B873" s="114">
        <v>2</v>
      </c>
      <c r="C873" s="58" t="s">
        <v>785</v>
      </c>
      <c r="D873" s="58" t="s">
        <v>2587</v>
      </c>
    </row>
    <row r="874" spans="1:4" s="119" customFormat="1" ht="29">
      <c r="A874" s="114">
        <v>3</v>
      </c>
      <c r="B874" s="114">
        <v>2</v>
      </c>
      <c r="C874" s="58" t="s">
        <v>786</v>
      </c>
      <c r="D874" s="58" t="s">
        <v>2588</v>
      </c>
    </row>
    <row r="875" spans="1:4" s="119" customFormat="1">
      <c r="A875" s="114">
        <v>3</v>
      </c>
      <c r="B875" s="114">
        <v>2</v>
      </c>
      <c r="C875" s="58" t="s">
        <v>787</v>
      </c>
      <c r="D875" s="58" t="s">
        <v>788</v>
      </c>
    </row>
    <row r="876" spans="1:4" s="119" customFormat="1" ht="29">
      <c r="A876" s="114">
        <v>3</v>
      </c>
      <c r="B876" s="114">
        <v>2</v>
      </c>
      <c r="C876" s="58" t="s">
        <v>789</v>
      </c>
      <c r="D876" s="58" t="s">
        <v>2589</v>
      </c>
    </row>
    <row r="877" spans="1:4" s="119" customFormat="1">
      <c r="A877" s="114">
        <v>3</v>
      </c>
      <c r="B877" s="114">
        <v>2</v>
      </c>
      <c r="C877" s="58" t="s">
        <v>790</v>
      </c>
      <c r="D877" s="58" t="s">
        <v>2725</v>
      </c>
    </row>
    <row r="878" spans="1:4" s="119" customFormat="1">
      <c r="A878" s="114">
        <v>3</v>
      </c>
      <c r="B878" s="114">
        <v>3</v>
      </c>
      <c r="C878" s="58" t="s">
        <v>1957</v>
      </c>
      <c r="D878" s="58" t="s">
        <v>791</v>
      </c>
    </row>
    <row r="879" spans="1:4" s="119" customFormat="1">
      <c r="A879" s="114">
        <v>3</v>
      </c>
      <c r="B879" s="114">
        <v>3</v>
      </c>
      <c r="C879" s="58" t="s">
        <v>1958</v>
      </c>
      <c r="D879" s="58" t="s">
        <v>1365</v>
      </c>
    </row>
    <row r="880" spans="1:4" s="119" customFormat="1">
      <c r="A880" s="114">
        <v>3</v>
      </c>
      <c r="B880" s="114">
        <v>3</v>
      </c>
      <c r="C880" s="58" t="s">
        <v>1959</v>
      </c>
      <c r="D880" s="58" t="s">
        <v>792</v>
      </c>
    </row>
    <row r="881" spans="1:4" s="119" customFormat="1" ht="35.5" customHeight="1">
      <c r="A881" s="114">
        <v>3</v>
      </c>
      <c r="B881" s="114">
        <v>1</v>
      </c>
      <c r="C881" s="58" t="s">
        <v>793</v>
      </c>
      <c r="D881" s="58" t="s">
        <v>2989</v>
      </c>
    </row>
    <row r="882" spans="1:4" s="119" customFormat="1">
      <c r="A882" s="114">
        <v>3</v>
      </c>
      <c r="B882" s="114">
        <v>2</v>
      </c>
      <c r="C882" s="58" t="s">
        <v>794</v>
      </c>
      <c r="D882" s="58" t="s">
        <v>795</v>
      </c>
    </row>
    <row r="883" spans="1:4" s="119" customFormat="1">
      <c r="A883" s="114">
        <v>3</v>
      </c>
      <c r="B883" s="114">
        <v>2</v>
      </c>
      <c r="C883" s="58" t="s">
        <v>796</v>
      </c>
      <c r="D883" s="58" t="s">
        <v>1366</v>
      </c>
    </row>
    <row r="884" spans="1:4" s="119" customFormat="1">
      <c r="A884" s="114">
        <v>3</v>
      </c>
      <c r="B884" s="114">
        <v>2</v>
      </c>
      <c r="C884" s="58" t="s">
        <v>797</v>
      </c>
      <c r="D884" s="58" t="s">
        <v>798</v>
      </c>
    </row>
    <row r="885" spans="1:4" s="119" customFormat="1" ht="29">
      <c r="A885" s="114">
        <v>3</v>
      </c>
      <c r="B885" s="114">
        <v>2</v>
      </c>
      <c r="C885" s="58" t="s">
        <v>799</v>
      </c>
      <c r="D885" s="58" t="s">
        <v>800</v>
      </c>
    </row>
    <row r="886" spans="1:4" s="119" customFormat="1">
      <c r="A886" s="114">
        <v>3</v>
      </c>
      <c r="B886" s="114">
        <v>3</v>
      </c>
      <c r="C886" s="58" t="s">
        <v>801</v>
      </c>
      <c r="D886" s="58" t="s">
        <v>802</v>
      </c>
    </row>
    <row r="887" spans="1:4" s="119" customFormat="1">
      <c r="A887" s="114">
        <v>3</v>
      </c>
      <c r="B887" s="114">
        <v>3</v>
      </c>
      <c r="C887" s="58" t="s">
        <v>803</v>
      </c>
      <c r="D887" s="58" t="s">
        <v>804</v>
      </c>
    </row>
    <row r="888" spans="1:4" s="119" customFormat="1" ht="20.5" customHeight="1">
      <c r="A888" s="114">
        <v>3</v>
      </c>
      <c r="B888" s="114">
        <v>3</v>
      </c>
      <c r="C888" s="58" t="s">
        <v>805</v>
      </c>
      <c r="D888" s="58" t="s">
        <v>2590</v>
      </c>
    </row>
    <row r="889" spans="1:4" s="119" customFormat="1">
      <c r="A889" s="114">
        <v>3</v>
      </c>
      <c r="B889" s="114">
        <v>2</v>
      </c>
      <c r="C889" s="58" t="s">
        <v>806</v>
      </c>
      <c r="D889" s="58" t="s">
        <v>2726</v>
      </c>
    </row>
    <row r="890" spans="1:4" s="119" customFormat="1">
      <c r="A890" s="114">
        <v>3</v>
      </c>
      <c r="B890" s="114">
        <v>3</v>
      </c>
      <c r="C890" s="58" t="s">
        <v>1960</v>
      </c>
      <c r="D890" s="58" t="s">
        <v>2727</v>
      </c>
    </row>
    <row r="891" spans="1:4" s="119" customFormat="1">
      <c r="A891" s="114">
        <v>3</v>
      </c>
      <c r="B891" s="114">
        <v>3</v>
      </c>
      <c r="C891" s="58" t="s">
        <v>1961</v>
      </c>
      <c r="D891" s="58" t="s">
        <v>1367</v>
      </c>
    </row>
    <row r="892" spans="1:4" s="119" customFormat="1">
      <c r="A892" s="114">
        <v>3</v>
      </c>
      <c r="B892" s="114">
        <v>3</v>
      </c>
      <c r="C892" s="58" t="s">
        <v>1962</v>
      </c>
      <c r="D892" s="58" t="s">
        <v>1368</v>
      </c>
    </row>
    <row r="893" spans="1:4" s="119" customFormat="1">
      <c r="A893" s="114">
        <v>3</v>
      </c>
      <c r="B893" s="114">
        <v>3</v>
      </c>
      <c r="C893" s="58" t="s">
        <v>1963</v>
      </c>
      <c r="D893" s="58" t="s">
        <v>1369</v>
      </c>
    </row>
    <row r="894" spans="1:4" s="119" customFormat="1">
      <c r="A894" s="114">
        <v>3</v>
      </c>
      <c r="B894" s="114">
        <v>3</v>
      </c>
      <c r="C894" s="58" t="s">
        <v>2591</v>
      </c>
      <c r="D894" s="58" t="s">
        <v>1370</v>
      </c>
    </row>
    <row r="895" spans="1:4" s="119" customFormat="1">
      <c r="A895" s="114">
        <v>3</v>
      </c>
      <c r="B895" s="114">
        <v>3</v>
      </c>
      <c r="C895" s="58" t="s">
        <v>1964</v>
      </c>
      <c r="D895" s="58" t="s">
        <v>1371</v>
      </c>
    </row>
    <row r="896" spans="1:4" s="119" customFormat="1">
      <c r="A896" s="114">
        <v>3</v>
      </c>
      <c r="B896" s="114">
        <v>3</v>
      </c>
      <c r="C896" s="58" t="s">
        <v>1965</v>
      </c>
      <c r="D896" s="58" t="s">
        <v>1372</v>
      </c>
    </row>
    <row r="897" spans="1:4" s="119" customFormat="1">
      <c r="A897" s="114">
        <v>3</v>
      </c>
      <c r="B897" s="114">
        <v>3</v>
      </c>
      <c r="C897" s="58" t="s">
        <v>1966</v>
      </c>
      <c r="D897" s="58" t="s">
        <v>1373</v>
      </c>
    </row>
    <row r="898" spans="1:4" s="119" customFormat="1">
      <c r="A898" s="114">
        <v>3</v>
      </c>
      <c r="B898" s="114">
        <v>3</v>
      </c>
      <c r="C898" s="58" t="s">
        <v>1967</v>
      </c>
      <c r="D898" s="58" t="s">
        <v>1374</v>
      </c>
    </row>
    <row r="899" spans="1:4" s="119" customFormat="1">
      <c r="A899" s="114">
        <v>3</v>
      </c>
      <c r="B899" s="114">
        <v>3</v>
      </c>
      <c r="C899" s="58" t="s">
        <v>1968</v>
      </c>
      <c r="D899" s="58" t="s">
        <v>1375</v>
      </c>
    </row>
    <row r="900" spans="1:4" s="119" customFormat="1">
      <c r="A900" s="114">
        <v>3</v>
      </c>
      <c r="B900" s="114">
        <v>3</v>
      </c>
      <c r="C900" s="58" t="s">
        <v>1969</v>
      </c>
      <c r="D900" s="58" t="s">
        <v>1376</v>
      </c>
    </row>
    <row r="901" spans="1:4" s="119" customFormat="1">
      <c r="A901" s="114">
        <v>3</v>
      </c>
      <c r="B901" s="114">
        <v>3</v>
      </c>
      <c r="C901" s="58" t="s">
        <v>1970</v>
      </c>
      <c r="D901" s="58" t="s">
        <v>1377</v>
      </c>
    </row>
    <row r="902" spans="1:4" s="119" customFormat="1">
      <c r="A902" s="114">
        <v>3</v>
      </c>
      <c r="B902" s="114">
        <v>3</v>
      </c>
      <c r="C902" s="58" t="s">
        <v>1971</v>
      </c>
      <c r="D902" s="58" t="s">
        <v>1378</v>
      </c>
    </row>
    <row r="903" spans="1:4" s="119" customFormat="1">
      <c r="A903" s="114">
        <v>3</v>
      </c>
      <c r="B903" s="114">
        <v>3</v>
      </c>
      <c r="C903" s="58" t="s">
        <v>1972</v>
      </c>
      <c r="D903" s="58" t="s">
        <v>1379</v>
      </c>
    </row>
    <row r="904" spans="1:4" s="119" customFormat="1">
      <c r="A904" s="114">
        <v>3</v>
      </c>
      <c r="B904" s="114">
        <v>3</v>
      </c>
      <c r="C904" s="58" t="s">
        <v>1973</v>
      </c>
      <c r="D904" s="58" t="s">
        <v>1380</v>
      </c>
    </row>
    <row r="905" spans="1:4" s="119" customFormat="1">
      <c r="A905" s="114">
        <v>3</v>
      </c>
      <c r="B905" s="114">
        <v>3</v>
      </c>
      <c r="C905" s="58" t="s">
        <v>1974</v>
      </c>
      <c r="D905" s="58" t="s">
        <v>1381</v>
      </c>
    </row>
    <row r="906" spans="1:4" s="119" customFormat="1">
      <c r="A906" s="114">
        <v>3</v>
      </c>
      <c r="B906" s="114">
        <v>3</v>
      </c>
      <c r="C906" s="58" t="s">
        <v>1975</v>
      </c>
      <c r="D906" s="58" t="s">
        <v>807</v>
      </c>
    </row>
    <row r="907" spans="1:4" s="119" customFormat="1" ht="29">
      <c r="A907" s="114">
        <v>3</v>
      </c>
      <c r="B907" s="114">
        <v>2</v>
      </c>
      <c r="C907" s="58" t="s">
        <v>808</v>
      </c>
      <c r="D907" s="58" t="s">
        <v>809</v>
      </c>
    </row>
    <row r="908" spans="1:4" s="119" customFormat="1" ht="29">
      <c r="A908" s="114">
        <v>3</v>
      </c>
      <c r="B908" s="114">
        <v>3</v>
      </c>
      <c r="C908" s="58" t="s">
        <v>810</v>
      </c>
      <c r="D908" s="58" t="s">
        <v>2592</v>
      </c>
    </row>
    <row r="909" spans="1:4" s="119" customFormat="1">
      <c r="A909" s="114">
        <v>3</v>
      </c>
      <c r="B909" s="114">
        <v>3</v>
      </c>
      <c r="C909" s="58" t="s">
        <v>811</v>
      </c>
      <c r="D909" s="58" t="s">
        <v>1382</v>
      </c>
    </row>
    <row r="910" spans="1:4" s="119" customFormat="1">
      <c r="A910" s="114">
        <v>3</v>
      </c>
      <c r="B910" s="114">
        <v>3</v>
      </c>
      <c r="C910" s="58" t="s">
        <v>812</v>
      </c>
      <c r="D910" s="58" t="s">
        <v>1383</v>
      </c>
    </row>
    <row r="911" spans="1:4" s="119" customFormat="1" ht="21.5" customHeight="1">
      <c r="A911" s="114">
        <v>3</v>
      </c>
      <c r="B911" s="114">
        <v>3</v>
      </c>
      <c r="C911" s="58" t="s">
        <v>813</v>
      </c>
      <c r="D911" s="58" t="s">
        <v>2593</v>
      </c>
    </row>
    <row r="912" spans="1:4" s="119" customFormat="1" ht="29">
      <c r="A912" s="114">
        <v>3</v>
      </c>
      <c r="B912" s="114">
        <v>3</v>
      </c>
      <c r="C912" s="58" t="s">
        <v>814</v>
      </c>
      <c r="D912" s="58" t="s">
        <v>815</v>
      </c>
    </row>
    <row r="913" spans="1:4" s="119" customFormat="1" ht="43.5">
      <c r="A913" s="114">
        <v>3</v>
      </c>
      <c r="B913" s="114">
        <v>1</v>
      </c>
      <c r="C913" s="58" t="s">
        <v>816</v>
      </c>
      <c r="D913" s="58" t="s">
        <v>2594</v>
      </c>
    </row>
    <row r="914" spans="1:4" s="119" customFormat="1">
      <c r="A914" s="114">
        <v>3</v>
      </c>
      <c r="B914" s="114">
        <v>2</v>
      </c>
      <c r="C914" s="58" t="s">
        <v>817</v>
      </c>
      <c r="D914" s="58" t="s">
        <v>818</v>
      </c>
    </row>
    <row r="915" spans="1:4" s="119" customFormat="1">
      <c r="A915" s="114">
        <v>3</v>
      </c>
      <c r="B915" s="114">
        <v>2</v>
      </c>
      <c r="C915" s="58" t="s">
        <v>819</v>
      </c>
      <c r="D915" s="58" t="s">
        <v>820</v>
      </c>
    </row>
    <row r="916" spans="1:4" s="119" customFormat="1">
      <c r="A916" s="114">
        <v>3</v>
      </c>
      <c r="B916" s="114">
        <v>2</v>
      </c>
      <c r="C916" s="58" t="s">
        <v>2595</v>
      </c>
      <c r="D916" s="58" t="s">
        <v>2596</v>
      </c>
    </row>
    <row r="917" spans="1:4" s="119" customFormat="1">
      <c r="A917" s="114">
        <v>3</v>
      </c>
      <c r="B917" s="114">
        <v>2</v>
      </c>
      <c r="C917" s="58" t="s">
        <v>821</v>
      </c>
      <c r="D917" s="58" t="s">
        <v>822</v>
      </c>
    </row>
    <row r="918" spans="1:4" s="119" customFormat="1">
      <c r="A918" s="114">
        <v>3</v>
      </c>
      <c r="B918" s="114">
        <v>2</v>
      </c>
      <c r="C918" s="58" t="s">
        <v>823</v>
      </c>
      <c r="D918" s="58" t="s">
        <v>824</v>
      </c>
    </row>
    <row r="919" spans="1:4" s="119" customFormat="1" ht="18.5" customHeight="1">
      <c r="A919" s="114">
        <v>3</v>
      </c>
      <c r="B919" s="114">
        <v>2</v>
      </c>
      <c r="C919" s="58" t="s">
        <v>825</v>
      </c>
      <c r="D919" s="58" t="s">
        <v>2597</v>
      </c>
    </row>
    <row r="920" spans="1:4" s="119" customFormat="1">
      <c r="A920" s="114">
        <v>3</v>
      </c>
      <c r="B920" s="114">
        <v>3</v>
      </c>
      <c r="C920" s="58" t="s">
        <v>826</v>
      </c>
      <c r="D920" s="58" t="s">
        <v>32</v>
      </c>
    </row>
    <row r="921" spans="1:4" s="115" customFormat="1" ht="21.5" customHeight="1">
      <c r="A921" s="114">
        <v>3</v>
      </c>
      <c r="B921" s="114">
        <v>3</v>
      </c>
      <c r="C921" s="58" t="s">
        <v>827</v>
      </c>
      <c r="D921" s="58" t="s">
        <v>1384</v>
      </c>
    </row>
    <row r="922" spans="1:4" s="115" customFormat="1" ht="19.5" customHeight="1">
      <c r="A922" s="114">
        <v>3</v>
      </c>
      <c r="B922" s="114">
        <v>3</v>
      </c>
      <c r="C922" s="58" t="s">
        <v>828</v>
      </c>
      <c r="D922" s="58" t="s">
        <v>829</v>
      </c>
    </row>
    <row r="923" spans="1:4" s="115" customFormat="1" ht="29">
      <c r="A923" s="114">
        <v>3</v>
      </c>
      <c r="B923" s="114">
        <v>2</v>
      </c>
      <c r="C923" s="58" t="s">
        <v>830</v>
      </c>
      <c r="D923" s="58" t="s">
        <v>831</v>
      </c>
    </row>
    <row r="924" spans="1:4" s="115" customFormat="1">
      <c r="A924" s="114">
        <v>3</v>
      </c>
      <c r="B924" s="114">
        <v>3</v>
      </c>
      <c r="C924" s="58" t="s">
        <v>832</v>
      </c>
      <c r="D924" s="58" t="s">
        <v>1385</v>
      </c>
    </row>
    <row r="925" spans="1:4" s="115" customFormat="1">
      <c r="A925" s="114">
        <v>3</v>
      </c>
      <c r="B925" s="114">
        <v>3</v>
      </c>
      <c r="C925" s="58" t="s">
        <v>833</v>
      </c>
      <c r="D925" s="58" t="s">
        <v>1386</v>
      </c>
    </row>
    <row r="926" spans="1:4" s="115" customFormat="1" ht="20" customHeight="1">
      <c r="A926" s="114">
        <v>3</v>
      </c>
      <c r="B926" s="114">
        <v>3</v>
      </c>
      <c r="C926" s="58" t="s">
        <v>834</v>
      </c>
      <c r="D926" s="58" t="s">
        <v>2598</v>
      </c>
    </row>
    <row r="927" spans="1:4" s="115" customFormat="1" ht="29">
      <c r="A927" s="114">
        <v>3</v>
      </c>
      <c r="B927" s="114">
        <v>2</v>
      </c>
      <c r="C927" s="58" t="s">
        <v>835</v>
      </c>
      <c r="D927" s="58" t="s">
        <v>1387</v>
      </c>
    </row>
    <row r="928" spans="1:4" s="115" customFormat="1">
      <c r="A928" s="114">
        <v>3</v>
      </c>
      <c r="B928" s="114">
        <v>3</v>
      </c>
      <c r="C928" s="58" t="s">
        <v>1976</v>
      </c>
      <c r="D928" s="58" t="s">
        <v>2599</v>
      </c>
    </row>
    <row r="929" spans="1:4" s="115" customFormat="1">
      <c r="A929" s="114">
        <v>3</v>
      </c>
      <c r="B929" s="114">
        <v>3</v>
      </c>
      <c r="C929" s="58" t="s">
        <v>1977</v>
      </c>
      <c r="D929" s="58" t="s">
        <v>1388</v>
      </c>
    </row>
    <row r="930" spans="1:4" s="115" customFormat="1">
      <c r="A930" s="114">
        <v>3</v>
      </c>
      <c r="B930" s="114">
        <v>3</v>
      </c>
      <c r="C930" s="58" t="s">
        <v>1978</v>
      </c>
      <c r="D930" s="58" t="s">
        <v>1389</v>
      </c>
    </row>
    <row r="931" spans="1:4" s="115" customFormat="1">
      <c r="A931" s="114">
        <v>3</v>
      </c>
      <c r="B931" s="114">
        <v>3</v>
      </c>
      <c r="C931" s="58" t="s">
        <v>1979</v>
      </c>
      <c r="D931" s="58" t="s">
        <v>1390</v>
      </c>
    </row>
    <row r="932" spans="1:4" s="115" customFormat="1">
      <c r="A932" s="114">
        <v>3</v>
      </c>
      <c r="B932" s="114">
        <v>3</v>
      </c>
      <c r="C932" s="58" t="s">
        <v>1980</v>
      </c>
      <c r="D932" s="58" t="s">
        <v>1391</v>
      </c>
    </row>
    <row r="933" spans="1:4" s="115" customFormat="1">
      <c r="A933" s="114">
        <v>3</v>
      </c>
      <c r="B933" s="114">
        <v>3</v>
      </c>
      <c r="C933" s="58" t="s">
        <v>2600</v>
      </c>
      <c r="D933" s="58" t="s">
        <v>1392</v>
      </c>
    </row>
    <row r="934" spans="1:4" s="115" customFormat="1">
      <c r="A934" s="114">
        <v>3</v>
      </c>
      <c r="B934" s="114">
        <v>3</v>
      </c>
      <c r="C934" s="58" t="s">
        <v>1981</v>
      </c>
      <c r="D934" s="58" t="s">
        <v>1393</v>
      </c>
    </row>
    <row r="935" spans="1:4" s="115" customFormat="1" ht="29">
      <c r="A935" s="114">
        <v>3</v>
      </c>
      <c r="B935" s="114">
        <v>2</v>
      </c>
      <c r="C935" s="58" t="s">
        <v>836</v>
      </c>
      <c r="D935" s="58" t="s">
        <v>837</v>
      </c>
    </row>
    <row r="936" spans="1:4" s="115" customFormat="1" ht="29">
      <c r="A936" s="114">
        <v>3</v>
      </c>
      <c r="B936" s="114">
        <v>3</v>
      </c>
      <c r="C936" s="58" t="s">
        <v>838</v>
      </c>
      <c r="D936" s="58" t="s">
        <v>2601</v>
      </c>
    </row>
    <row r="937" spans="1:4" s="115" customFormat="1">
      <c r="A937" s="114">
        <v>3</v>
      </c>
      <c r="B937" s="114">
        <v>3</v>
      </c>
      <c r="C937" s="58" t="s">
        <v>839</v>
      </c>
      <c r="D937" s="58" t="s">
        <v>840</v>
      </c>
    </row>
    <row r="938" spans="1:4" s="115" customFormat="1">
      <c r="A938" s="114">
        <v>3</v>
      </c>
      <c r="B938" s="114">
        <v>3</v>
      </c>
      <c r="C938" s="58" t="s">
        <v>841</v>
      </c>
      <c r="D938" s="58" t="s">
        <v>842</v>
      </c>
    </row>
    <row r="939" spans="1:4" s="115" customFormat="1" ht="20" customHeight="1">
      <c r="A939" s="114">
        <v>3</v>
      </c>
      <c r="B939" s="114">
        <v>3</v>
      </c>
      <c r="C939" s="58" t="s">
        <v>844</v>
      </c>
      <c r="D939" s="58" t="s">
        <v>2602</v>
      </c>
    </row>
    <row r="940" spans="1:4" s="115" customFormat="1" ht="29">
      <c r="A940" s="114">
        <v>3</v>
      </c>
      <c r="B940" s="114">
        <v>3</v>
      </c>
      <c r="C940" s="58" t="s">
        <v>843</v>
      </c>
      <c r="D940" s="58" t="s">
        <v>845</v>
      </c>
    </row>
    <row r="941" spans="1:4" s="115" customFormat="1" ht="29">
      <c r="A941" s="114">
        <v>3</v>
      </c>
      <c r="B941" s="114">
        <v>1</v>
      </c>
      <c r="C941" s="58" t="s">
        <v>846</v>
      </c>
      <c r="D941" s="58" t="s">
        <v>2603</v>
      </c>
    </row>
    <row r="942" spans="1:4" s="115" customFormat="1">
      <c r="A942" s="114">
        <v>3</v>
      </c>
      <c r="B942" s="114">
        <v>2</v>
      </c>
      <c r="C942" s="58" t="s">
        <v>847</v>
      </c>
      <c r="D942" s="58" t="s">
        <v>2604</v>
      </c>
    </row>
    <row r="943" spans="1:4" s="115" customFormat="1" ht="29">
      <c r="A943" s="114">
        <v>3</v>
      </c>
      <c r="B943" s="114">
        <v>2</v>
      </c>
      <c r="C943" s="58" t="s">
        <v>2605</v>
      </c>
      <c r="D943" s="58" t="s">
        <v>2606</v>
      </c>
    </row>
    <row r="944" spans="1:4" s="115" customFormat="1" ht="21" customHeight="1">
      <c r="A944" s="114">
        <v>3</v>
      </c>
      <c r="B944" s="114">
        <v>2</v>
      </c>
      <c r="C944" s="58" t="s">
        <v>2607</v>
      </c>
      <c r="D944" s="58" t="s">
        <v>2608</v>
      </c>
    </row>
    <row r="945" spans="1:4" s="115" customFormat="1">
      <c r="A945" s="114">
        <v>3</v>
      </c>
      <c r="B945" s="114">
        <v>2</v>
      </c>
      <c r="C945" s="58" t="s">
        <v>2609</v>
      </c>
      <c r="D945" s="58" t="s">
        <v>2610</v>
      </c>
    </row>
    <row r="946" spans="1:4" s="115" customFormat="1">
      <c r="A946" s="114">
        <v>3</v>
      </c>
      <c r="B946" s="114">
        <v>2</v>
      </c>
      <c r="C946" s="58" t="s">
        <v>848</v>
      </c>
      <c r="D946" s="58" t="s">
        <v>2728</v>
      </c>
    </row>
    <row r="947" spans="1:4" s="115" customFormat="1" ht="29">
      <c r="A947" s="114">
        <v>3</v>
      </c>
      <c r="B947" s="114">
        <v>3</v>
      </c>
      <c r="C947" s="58" t="s">
        <v>3221</v>
      </c>
      <c r="D947" s="58" t="s">
        <v>1394</v>
      </c>
    </row>
    <row r="948" spans="1:4" s="115" customFormat="1">
      <c r="A948" s="114">
        <v>3</v>
      </c>
      <c r="B948" s="114">
        <v>3</v>
      </c>
      <c r="C948" s="58" t="s">
        <v>3143</v>
      </c>
      <c r="D948" s="58" t="s">
        <v>849</v>
      </c>
    </row>
    <row r="949" spans="1:4" s="115" customFormat="1">
      <c r="A949" s="114">
        <v>3</v>
      </c>
      <c r="B949" s="114">
        <v>3</v>
      </c>
      <c r="C949" s="58" t="s">
        <v>3144</v>
      </c>
      <c r="D949" s="58" t="s">
        <v>850</v>
      </c>
    </row>
    <row r="950" spans="1:4" s="115" customFormat="1">
      <c r="A950" s="114">
        <v>3</v>
      </c>
      <c r="B950" s="114">
        <v>3</v>
      </c>
      <c r="C950" s="58" t="s">
        <v>3145</v>
      </c>
      <c r="D950" s="58" t="s">
        <v>851</v>
      </c>
    </row>
    <row r="951" spans="1:4" s="115" customFormat="1" ht="29">
      <c r="A951" s="114">
        <v>3</v>
      </c>
      <c r="B951" s="114">
        <v>3</v>
      </c>
      <c r="C951" s="58" t="s">
        <v>3222</v>
      </c>
      <c r="D951" s="58" t="s">
        <v>2611</v>
      </c>
    </row>
    <row r="952" spans="1:4" s="115" customFormat="1">
      <c r="A952" s="114">
        <v>3</v>
      </c>
      <c r="B952" s="114">
        <v>3</v>
      </c>
      <c r="C952" s="58" t="s">
        <v>3146</v>
      </c>
      <c r="D952" s="58" t="s">
        <v>2612</v>
      </c>
    </row>
    <row r="953" spans="1:4" s="115" customFormat="1">
      <c r="A953" s="114">
        <v>3</v>
      </c>
      <c r="B953" s="114">
        <v>3</v>
      </c>
      <c r="C953" s="58" t="s">
        <v>3147</v>
      </c>
      <c r="D953" s="58" t="s">
        <v>2613</v>
      </c>
    </row>
    <row r="954" spans="1:4" s="115" customFormat="1">
      <c r="A954" s="114">
        <v>3</v>
      </c>
      <c r="B954" s="114">
        <v>3</v>
      </c>
      <c r="C954" s="58" t="s">
        <v>3148</v>
      </c>
      <c r="D954" s="58" t="s">
        <v>2614</v>
      </c>
    </row>
    <row r="955" spans="1:4" s="115" customFormat="1">
      <c r="A955" s="114">
        <v>3</v>
      </c>
      <c r="B955" s="114">
        <v>3</v>
      </c>
      <c r="C955" s="58" t="s">
        <v>3149</v>
      </c>
      <c r="D955" s="58" t="s">
        <v>2615</v>
      </c>
    </row>
    <row r="956" spans="1:4" s="115" customFormat="1">
      <c r="A956" s="114">
        <v>3</v>
      </c>
      <c r="B956" s="114">
        <v>3</v>
      </c>
      <c r="C956" s="58" t="s">
        <v>3150</v>
      </c>
      <c r="D956" s="58" t="s">
        <v>2616</v>
      </c>
    </row>
    <row r="957" spans="1:4" s="115" customFormat="1" ht="30.5" customHeight="1">
      <c r="A957" s="114">
        <v>3</v>
      </c>
      <c r="B957" s="114">
        <v>3</v>
      </c>
      <c r="C957" s="58" t="s">
        <v>3151</v>
      </c>
      <c r="D957" s="58" t="s">
        <v>2617</v>
      </c>
    </row>
    <row r="958" spans="1:4" s="115" customFormat="1" ht="29">
      <c r="A958" s="114">
        <v>3</v>
      </c>
      <c r="B958" s="114">
        <v>2</v>
      </c>
      <c r="C958" s="58" t="s">
        <v>852</v>
      </c>
      <c r="D958" s="58" t="s">
        <v>853</v>
      </c>
    </row>
    <row r="959" spans="1:4" s="115" customFormat="1" ht="29">
      <c r="A959" s="114">
        <v>3</v>
      </c>
      <c r="B959" s="114">
        <v>3</v>
      </c>
      <c r="C959" s="58" t="s">
        <v>854</v>
      </c>
      <c r="D959" s="58" t="s">
        <v>2618</v>
      </c>
    </row>
    <row r="960" spans="1:4" s="115" customFormat="1">
      <c r="A960" s="114">
        <v>3</v>
      </c>
      <c r="B960" s="114">
        <v>3</v>
      </c>
      <c r="C960" s="58" t="s">
        <v>855</v>
      </c>
      <c r="D960" s="58" t="s">
        <v>856</v>
      </c>
    </row>
    <row r="961" spans="1:4" s="115" customFormat="1">
      <c r="A961" s="114">
        <v>3</v>
      </c>
      <c r="B961" s="114">
        <v>3</v>
      </c>
      <c r="C961" s="58" t="s">
        <v>857</v>
      </c>
      <c r="D961" s="58" t="s">
        <v>858</v>
      </c>
    </row>
    <row r="962" spans="1:4" s="115" customFormat="1" ht="29">
      <c r="A962" s="114">
        <v>3</v>
      </c>
      <c r="B962" s="114">
        <v>3</v>
      </c>
      <c r="C962" s="58" t="s">
        <v>859</v>
      </c>
      <c r="D962" s="58" t="s">
        <v>1395</v>
      </c>
    </row>
    <row r="963" spans="1:4" s="115" customFormat="1" ht="23.5" customHeight="1">
      <c r="A963" s="114">
        <v>3</v>
      </c>
      <c r="B963" s="114">
        <v>1</v>
      </c>
      <c r="C963" s="58" t="s">
        <v>860</v>
      </c>
      <c r="D963" s="58" t="s">
        <v>2619</v>
      </c>
    </row>
    <row r="964" spans="1:4" s="115" customFormat="1">
      <c r="A964" s="114">
        <v>3</v>
      </c>
      <c r="B964" s="114">
        <v>2</v>
      </c>
      <c r="C964" s="58" t="s">
        <v>861</v>
      </c>
      <c r="D964" s="58" t="s">
        <v>862</v>
      </c>
    </row>
    <row r="965" spans="1:4" s="115" customFormat="1">
      <c r="A965" s="114">
        <v>3</v>
      </c>
      <c r="B965" s="114">
        <v>2</v>
      </c>
      <c r="C965" s="58" t="s">
        <v>863</v>
      </c>
      <c r="D965" s="58" t="s">
        <v>864</v>
      </c>
    </row>
    <row r="966" spans="1:4" s="115" customFormat="1">
      <c r="A966" s="114">
        <v>3</v>
      </c>
      <c r="B966" s="114">
        <v>2</v>
      </c>
      <c r="C966" s="58" t="s">
        <v>865</v>
      </c>
      <c r="D966" s="58" t="s">
        <v>2203</v>
      </c>
    </row>
    <row r="967" spans="1:4" s="115" customFormat="1">
      <c r="A967" s="114">
        <v>3</v>
      </c>
      <c r="B967" s="114">
        <v>2</v>
      </c>
      <c r="C967" s="58" t="s">
        <v>866</v>
      </c>
      <c r="D967" s="58" t="s">
        <v>867</v>
      </c>
    </row>
    <row r="968" spans="1:4" s="115" customFormat="1">
      <c r="A968" s="114">
        <v>3</v>
      </c>
      <c r="B968" s="114">
        <v>2</v>
      </c>
      <c r="C968" s="58" t="s">
        <v>868</v>
      </c>
      <c r="D968" s="58" t="s">
        <v>869</v>
      </c>
    </row>
    <row r="969" spans="1:4" s="115" customFormat="1" ht="23" customHeight="1">
      <c r="A969" s="114">
        <v>3</v>
      </c>
      <c r="B969" s="114">
        <v>2</v>
      </c>
      <c r="C969" s="58" t="s">
        <v>870</v>
      </c>
      <c r="D969" s="58" t="s">
        <v>871</v>
      </c>
    </row>
    <row r="970" spans="1:4" s="115" customFormat="1">
      <c r="A970" s="114">
        <v>3</v>
      </c>
      <c r="B970" s="114">
        <v>3</v>
      </c>
      <c r="C970" s="58" t="s">
        <v>872</v>
      </c>
      <c r="D970" s="58" t="s">
        <v>873</v>
      </c>
    </row>
    <row r="971" spans="1:4" s="115" customFormat="1" ht="23.5" customHeight="1">
      <c r="A971" s="114">
        <v>3</v>
      </c>
      <c r="B971" s="114">
        <v>3</v>
      </c>
      <c r="C971" s="58" t="s">
        <v>874</v>
      </c>
      <c r="D971" s="58" t="s">
        <v>875</v>
      </c>
    </row>
    <row r="972" spans="1:4" s="115" customFormat="1" ht="29">
      <c r="A972" s="114">
        <v>3</v>
      </c>
      <c r="B972" s="114">
        <v>3</v>
      </c>
      <c r="C972" s="58" t="s">
        <v>876</v>
      </c>
      <c r="D972" s="58" t="s">
        <v>626</v>
      </c>
    </row>
    <row r="973" spans="1:4" s="115" customFormat="1" ht="29">
      <c r="A973" s="114">
        <v>3</v>
      </c>
      <c r="B973" s="114">
        <v>2</v>
      </c>
      <c r="C973" s="58" t="s">
        <v>877</v>
      </c>
      <c r="D973" s="58" t="s">
        <v>878</v>
      </c>
    </row>
    <row r="974" spans="1:4" s="115" customFormat="1">
      <c r="A974" s="114">
        <v>3</v>
      </c>
      <c r="B974" s="114">
        <v>3</v>
      </c>
      <c r="C974" s="58" t="s">
        <v>879</v>
      </c>
      <c r="D974" s="58" t="s">
        <v>1396</v>
      </c>
    </row>
    <row r="975" spans="1:4" s="115" customFormat="1">
      <c r="A975" s="114">
        <v>3</v>
      </c>
      <c r="B975" s="114">
        <v>3</v>
      </c>
      <c r="C975" s="58" t="s">
        <v>880</v>
      </c>
      <c r="D975" s="58" t="s">
        <v>1397</v>
      </c>
    </row>
    <row r="976" spans="1:4" s="115" customFormat="1" ht="22" customHeight="1">
      <c r="A976" s="114">
        <v>3</v>
      </c>
      <c r="B976" s="114">
        <v>3</v>
      </c>
      <c r="C976" s="58" t="s">
        <v>881</v>
      </c>
      <c r="D976" s="58" t="s">
        <v>2620</v>
      </c>
    </row>
    <row r="977" spans="1:4" s="115" customFormat="1">
      <c r="A977" s="114">
        <v>3</v>
      </c>
      <c r="B977" s="114">
        <v>2</v>
      </c>
      <c r="C977" s="58" t="s">
        <v>882</v>
      </c>
      <c r="D977" s="58" t="s">
        <v>2193</v>
      </c>
    </row>
    <row r="978" spans="1:4" s="115" customFormat="1" ht="29">
      <c r="A978" s="114">
        <v>3</v>
      </c>
      <c r="B978" s="114">
        <v>3</v>
      </c>
      <c r="C978" s="58" t="s">
        <v>1982</v>
      </c>
      <c r="D978" s="58" t="s">
        <v>883</v>
      </c>
    </row>
    <row r="979" spans="1:4" s="115" customFormat="1">
      <c r="A979" s="114">
        <v>3</v>
      </c>
      <c r="B979" s="114">
        <v>3</v>
      </c>
      <c r="C979" s="58" t="s">
        <v>1983</v>
      </c>
      <c r="D979" s="58" t="s">
        <v>1398</v>
      </c>
    </row>
    <row r="980" spans="1:4" s="115" customFormat="1">
      <c r="A980" s="114">
        <v>3</v>
      </c>
      <c r="B980" s="114">
        <v>3</v>
      </c>
      <c r="C980" s="58" t="s">
        <v>1984</v>
      </c>
      <c r="D980" s="58" t="s">
        <v>884</v>
      </c>
    </row>
    <row r="981" spans="1:4" s="115" customFormat="1" ht="29">
      <c r="A981" s="114">
        <v>3</v>
      </c>
      <c r="B981" s="114">
        <v>2</v>
      </c>
      <c r="C981" s="58" t="s">
        <v>885</v>
      </c>
      <c r="D981" s="58" t="s">
        <v>886</v>
      </c>
    </row>
    <row r="982" spans="1:4" s="115" customFormat="1" ht="29">
      <c r="A982" s="114">
        <v>3</v>
      </c>
      <c r="B982" s="114">
        <v>3</v>
      </c>
      <c r="C982" s="58" t="s">
        <v>887</v>
      </c>
      <c r="D982" s="58" t="s">
        <v>2621</v>
      </c>
    </row>
    <row r="983" spans="1:4" s="115" customFormat="1">
      <c r="A983" s="114">
        <v>3</v>
      </c>
      <c r="B983" s="114">
        <v>3</v>
      </c>
      <c r="C983" s="58" t="s">
        <v>888</v>
      </c>
      <c r="D983" s="58" t="s">
        <v>889</v>
      </c>
    </row>
    <row r="984" spans="1:4" s="115" customFormat="1">
      <c r="A984" s="114">
        <v>3</v>
      </c>
      <c r="B984" s="114">
        <v>3</v>
      </c>
      <c r="C984" s="58" t="s">
        <v>890</v>
      </c>
      <c r="D984" s="58" t="s">
        <v>891</v>
      </c>
    </row>
    <row r="985" spans="1:4" s="115" customFormat="1" ht="21" customHeight="1">
      <c r="A985" s="114">
        <v>3</v>
      </c>
      <c r="B985" s="114">
        <v>3</v>
      </c>
      <c r="C985" s="58" t="s">
        <v>892</v>
      </c>
      <c r="D985" s="58" t="s">
        <v>2622</v>
      </c>
    </row>
    <row r="986" spans="1:4" s="115" customFormat="1" ht="29">
      <c r="A986" s="114">
        <v>3</v>
      </c>
      <c r="B986" s="114">
        <v>3</v>
      </c>
      <c r="C986" s="58" t="s">
        <v>893</v>
      </c>
      <c r="D986" s="58" t="s">
        <v>894</v>
      </c>
    </row>
    <row r="987" spans="1:4" s="115" customFormat="1" ht="29">
      <c r="A987" s="114">
        <v>3</v>
      </c>
      <c r="B987" s="114">
        <v>1</v>
      </c>
      <c r="C987" s="58" t="s">
        <v>895</v>
      </c>
      <c r="D987" s="58" t="s">
        <v>2623</v>
      </c>
    </row>
    <row r="988" spans="1:4" s="115" customFormat="1">
      <c r="A988" s="114">
        <v>3</v>
      </c>
      <c r="B988" s="114">
        <v>2</v>
      </c>
      <c r="C988" s="58" t="s">
        <v>2624</v>
      </c>
      <c r="D988" s="58" t="s">
        <v>896</v>
      </c>
    </row>
    <row r="989" spans="1:4" s="115" customFormat="1" ht="29">
      <c r="A989" s="114">
        <v>3</v>
      </c>
      <c r="B989" s="114">
        <v>2</v>
      </c>
      <c r="C989" s="58" t="s">
        <v>897</v>
      </c>
      <c r="D989" s="58" t="s">
        <v>1399</v>
      </c>
    </row>
    <row r="990" spans="1:4" s="115" customFormat="1" ht="29">
      <c r="A990" s="114">
        <v>3</v>
      </c>
      <c r="B990" s="114">
        <v>2</v>
      </c>
      <c r="C990" s="58" t="s">
        <v>898</v>
      </c>
      <c r="D990" s="58" t="s">
        <v>899</v>
      </c>
    </row>
    <row r="991" spans="1:4" s="115" customFormat="1">
      <c r="A991" s="114">
        <v>3</v>
      </c>
      <c r="B991" s="114">
        <v>3</v>
      </c>
      <c r="C991" s="58" t="s">
        <v>900</v>
      </c>
      <c r="D991" s="58" t="s">
        <v>1400</v>
      </c>
    </row>
    <row r="992" spans="1:4" s="115" customFormat="1">
      <c r="A992" s="114">
        <v>3</v>
      </c>
      <c r="B992" s="114">
        <v>3</v>
      </c>
      <c r="C992" s="58" t="s">
        <v>901</v>
      </c>
      <c r="D992" s="58" t="s">
        <v>1401</v>
      </c>
    </row>
    <row r="993" spans="1:4" s="115" customFormat="1" ht="18.5" customHeight="1">
      <c r="A993" s="114">
        <v>3</v>
      </c>
      <c r="B993" s="114">
        <v>3</v>
      </c>
      <c r="C993" s="58" t="s">
        <v>902</v>
      </c>
      <c r="D993" s="58" t="s">
        <v>2625</v>
      </c>
    </row>
    <row r="994" spans="1:4" s="118" customFormat="1">
      <c r="A994" s="116">
        <v>3</v>
      </c>
      <c r="B994" s="116">
        <v>2</v>
      </c>
      <c r="C994" s="117" t="s">
        <v>2960</v>
      </c>
      <c r="D994" s="117" t="s">
        <v>2961</v>
      </c>
    </row>
    <row r="995" spans="1:4" s="115" customFormat="1" ht="20" customHeight="1">
      <c r="A995" s="114">
        <v>3</v>
      </c>
      <c r="B995" s="114">
        <v>2</v>
      </c>
      <c r="C995" s="58" t="s">
        <v>903</v>
      </c>
      <c r="D995" s="58" t="s">
        <v>2626</v>
      </c>
    </row>
    <row r="996" spans="1:4" s="115" customFormat="1">
      <c r="A996" s="114">
        <v>3</v>
      </c>
      <c r="B996" s="114">
        <v>3</v>
      </c>
      <c r="C996" s="58" t="s">
        <v>904</v>
      </c>
      <c r="D996" s="58" t="s">
        <v>32</v>
      </c>
    </row>
    <row r="997" spans="1:4" s="115" customFormat="1" ht="29">
      <c r="A997" s="114">
        <v>3</v>
      </c>
      <c r="B997" s="114">
        <v>3</v>
      </c>
      <c r="C997" s="58" t="s">
        <v>905</v>
      </c>
      <c r="D997" s="58" t="s">
        <v>1402</v>
      </c>
    </row>
    <row r="998" spans="1:4" s="115" customFormat="1" ht="29">
      <c r="A998" s="114">
        <v>3</v>
      </c>
      <c r="B998" s="114">
        <v>3</v>
      </c>
      <c r="C998" s="58" t="s">
        <v>906</v>
      </c>
      <c r="D998" s="58" t="s">
        <v>907</v>
      </c>
    </row>
    <row r="999" spans="1:4" s="115" customFormat="1">
      <c r="A999" s="114">
        <v>3</v>
      </c>
      <c r="B999" s="114">
        <v>2</v>
      </c>
      <c r="C999" s="58" t="s">
        <v>908</v>
      </c>
      <c r="D999" s="58" t="s">
        <v>3231</v>
      </c>
    </row>
    <row r="1000" spans="1:4" s="115" customFormat="1" ht="29">
      <c r="A1000" s="114">
        <v>3</v>
      </c>
      <c r="B1000" s="114">
        <v>3</v>
      </c>
      <c r="C1000" s="58" t="s">
        <v>909</v>
      </c>
      <c r="D1000" s="58" t="s">
        <v>910</v>
      </c>
    </row>
    <row r="1001" spans="1:4" s="115" customFormat="1">
      <c r="A1001" s="114">
        <v>3</v>
      </c>
      <c r="B1001" s="114">
        <v>2</v>
      </c>
      <c r="C1001" s="58" t="s">
        <v>911</v>
      </c>
      <c r="D1001" s="58" t="s">
        <v>1403</v>
      </c>
    </row>
    <row r="1002" spans="1:4" s="115" customFormat="1">
      <c r="A1002" s="114">
        <v>3</v>
      </c>
      <c r="B1002" s="114">
        <v>3</v>
      </c>
      <c r="C1002" s="58" t="s">
        <v>3152</v>
      </c>
      <c r="D1002" s="58" t="s">
        <v>912</v>
      </c>
    </row>
    <row r="1003" spans="1:4" s="115" customFormat="1">
      <c r="A1003" s="114">
        <v>3</v>
      </c>
      <c r="B1003" s="114">
        <v>3</v>
      </c>
      <c r="C1003" s="58" t="s">
        <v>1985</v>
      </c>
      <c r="D1003" s="58" t="s">
        <v>2194</v>
      </c>
    </row>
    <row r="1004" spans="1:4" s="115" customFormat="1">
      <c r="A1004" s="114">
        <v>3</v>
      </c>
      <c r="B1004" s="114">
        <v>3</v>
      </c>
      <c r="C1004" s="58" t="s">
        <v>1986</v>
      </c>
      <c r="D1004" s="58" t="s">
        <v>2195</v>
      </c>
    </row>
    <row r="1005" spans="1:4" s="115" customFormat="1">
      <c r="A1005" s="114">
        <v>3</v>
      </c>
      <c r="B1005" s="114">
        <v>3</v>
      </c>
      <c r="C1005" s="58" t="s">
        <v>3153</v>
      </c>
      <c r="D1005" s="58" t="s">
        <v>2196</v>
      </c>
    </row>
    <row r="1006" spans="1:4" s="115" customFormat="1">
      <c r="A1006" s="114">
        <v>3</v>
      </c>
      <c r="B1006" s="114">
        <v>3</v>
      </c>
      <c r="C1006" s="58" t="s">
        <v>3154</v>
      </c>
      <c r="D1006" s="58" t="s">
        <v>2197</v>
      </c>
    </row>
    <row r="1007" spans="1:4" s="115" customFormat="1">
      <c r="A1007" s="114">
        <v>3</v>
      </c>
      <c r="B1007" s="114">
        <v>3</v>
      </c>
      <c r="C1007" s="58" t="s">
        <v>1987</v>
      </c>
      <c r="D1007" s="58" t="s">
        <v>2198</v>
      </c>
    </row>
    <row r="1008" spans="1:4" s="115" customFormat="1">
      <c r="A1008" s="114">
        <v>3</v>
      </c>
      <c r="B1008" s="114">
        <v>3</v>
      </c>
      <c r="C1008" s="58" t="s">
        <v>1988</v>
      </c>
      <c r="D1008" s="58" t="s">
        <v>2199</v>
      </c>
    </row>
    <row r="1009" spans="1:4" s="115" customFormat="1">
      <c r="A1009" s="114">
        <v>3</v>
      </c>
      <c r="B1009" s="114">
        <v>3</v>
      </c>
      <c r="C1009" s="58" t="s">
        <v>1989</v>
      </c>
      <c r="D1009" s="58" t="s">
        <v>2200</v>
      </c>
    </row>
    <row r="1010" spans="1:4" s="115" customFormat="1">
      <c r="A1010" s="114">
        <v>3</v>
      </c>
      <c r="B1010" s="114">
        <v>3</v>
      </c>
      <c r="C1010" s="58" t="s">
        <v>2627</v>
      </c>
      <c r="D1010" s="58" t="s">
        <v>2628</v>
      </c>
    </row>
    <row r="1011" spans="1:4" s="115" customFormat="1" ht="29">
      <c r="A1011" s="114">
        <v>3</v>
      </c>
      <c r="B1011" s="114">
        <v>2</v>
      </c>
      <c r="C1011" s="58" t="s">
        <v>913</v>
      </c>
      <c r="D1011" s="58" t="s">
        <v>914</v>
      </c>
    </row>
    <row r="1012" spans="1:4" s="115" customFormat="1" ht="29">
      <c r="A1012" s="114">
        <v>3</v>
      </c>
      <c r="B1012" s="114">
        <v>3</v>
      </c>
      <c r="C1012" s="58" t="s">
        <v>915</v>
      </c>
      <c r="D1012" s="58" t="s">
        <v>2629</v>
      </c>
    </row>
    <row r="1013" spans="1:4" s="115" customFormat="1">
      <c r="A1013" s="114">
        <v>3</v>
      </c>
      <c r="B1013" s="114">
        <v>3</v>
      </c>
      <c r="C1013" s="58" t="s">
        <v>916</v>
      </c>
      <c r="D1013" s="58" t="s">
        <v>917</v>
      </c>
    </row>
    <row r="1014" spans="1:4" s="115" customFormat="1">
      <c r="A1014" s="114">
        <v>3</v>
      </c>
      <c r="B1014" s="114">
        <v>3</v>
      </c>
      <c r="C1014" s="58" t="s">
        <v>918</v>
      </c>
      <c r="D1014" s="58" t="s">
        <v>919</v>
      </c>
    </row>
    <row r="1015" spans="1:4" s="115" customFormat="1" ht="24.5" customHeight="1">
      <c r="A1015" s="114">
        <v>3</v>
      </c>
      <c r="B1015" s="114">
        <v>3</v>
      </c>
      <c r="C1015" s="58" t="s">
        <v>920</v>
      </c>
      <c r="D1015" s="58" t="s">
        <v>2630</v>
      </c>
    </row>
    <row r="1016" spans="1:4" s="115" customFormat="1" ht="29">
      <c r="A1016" s="114">
        <v>3</v>
      </c>
      <c r="B1016" s="114">
        <v>3</v>
      </c>
      <c r="C1016" s="58" t="s">
        <v>921</v>
      </c>
      <c r="D1016" s="58" t="s">
        <v>922</v>
      </c>
    </row>
    <row r="1017" spans="1:4" s="115" customFormat="1" ht="35" customHeight="1">
      <c r="A1017" s="114">
        <v>3</v>
      </c>
      <c r="B1017" s="114">
        <v>1</v>
      </c>
      <c r="C1017" s="58" t="s">
        <v>923</v>
      </c>
      <c r="D1017" s="58" t="s">
        <v>924</v>
      </c>
    </row>
    <row r="1018" spans="1:4" s="115" customFormat="1">
      <c r="A1018" s="114">
        <v>3</v>
      </c>
      <c r="B1018" s="114">
        <v>2</v>
      </c>
      <c r="C1018" s="58" t="s">
        <v>925</v>
      </c>
      <c r="D1018" s="58" t="s">
        <v>2631</v>
      </c>
    </row>
    <row r="1019" spans="1:4" s="115" customFormat="1">
      <c r="A1019" s="114">
        <v>3</v>
      </c>
      <c r="B1019" s="114">
        <v>2</v>
      </c>
      <c r="C1019" s="58" t="s">
        <v>926</v>
      </c>
      <c r="D1019" s="58" t="s">
        <v>2632</v>
      </c>
    </row>
    <row r="1020" spans="1:4" s="115" customFormat="1">
      <c r="A1020" s="114">
        <v>3</v>
      </c>
      <c r="B1020" s="114">
        <v>2</v>
      </c>
      <c r="C1020" s="58" t="s">
        <v>927</v>
      </c>
      <c r="D1020" s="58" t="s">
        <v>928</v>
      </c>
    </row>
    <row r="1021" spans="1:4" s="115" customFormat="1">
      <c r="A1021" s="114">
        <v>3</v>
      </c>
      <c r="B1021" s="114">
        <v>2</v>
      </c>
      <c r="C1021" s="58" t="s">
        <v>929</v>
      </c>
      <c r="D1021" s="58" t="s">
        <v>1404</v>
      </c>
    </row>
    <row r="1022" spans="1:4" s="115" customFormat="1">
      <c r="A1022" s="114">
        <v>3</v>
      </c>
      <c r="B1022" s="114">
        <v>3</v>
      </c>
      <c r="C1022" s="58" t="s">
        <v>1990</v>
      </c>
      <c r="D1022" s="58" t="s">
        <v>930</v>
      </c>
    </row>
    <row r="1023" spans="1:4" s="115" customFormat="1">
      <c r="A1023" s="114">
        <v>3</v>
      </c>
      <c r="B1023" s="114">
        <v>3</v>
      </c>
      <c r="C1023" s="58" t="s">
        <v>2633</v>
      </c>
      <c r="D1023" s="122" t="s">
        <v>2729</v>
      </c>
    </row>
    <row r="1024" spans="1:4" s="115" customFormat="1" ht="29">
      <c r="A1024" s="114">
        <v>3</v>
      </c>
      <c r="B1024" s="114">
        <v>2</v>
      </c>
      <c r="C1024" s="58" t="s">
        <v>931</v>
      </c>
      <c r="D1024" s="58" t="s">
        <v>932</v>
      </c>
    </row>
    <row r="1025" spans="1:4" s="115" customFormat="1" ht="29">
      <c r="A1025" s="114">
        <v>3</v>
      </c>
      <c r="B1025" s="114">
        <v>3</v>
      </c>
      <c r="C1025" s="58" t="s">
        <v>935</v>
      </c>
      <c r="D1025" s="58" t="s">
        <v>2634</v>
      </c>
    </row>
    <row r="1026" spans="1:4" s="115" customFormat="1">
      <c r="A1026" s="114">
        <v>3</v>
      </c>
      <c r="B1026" s="114">
        <v>3</v>
      </c>
      <c r="C1026" s="58" t="s">
        <v>933</v>
      </c>
      <c r="D1026" s="58" t="s">
        <v>1405</v>
      </c>
    </row>
    <row r="1027" spans="1:4" s="115" customFormat="1">
      <c r="A1027" s="114">
        <v>3</v>
      </c>
      <c r="B1027" s="114">
        <v>3</v>
      </c>
      <c r="C1027" s="58" t="s">
        <v>936</v>
      </c>
      <c r="D1027" s="58" t="s">
        <v>1406</v>
      </c>
    </row>
    <row r="1028" spans="1:4" s="115" customFormat="1" ht="22" customHeight="1">
      <c r="A1028" s="114">
        <v>3</v>
      </c>
      <c r="B1028" s="114">
        <v>3</v>
      </c>
      <c r="C1028" s="58" t="s">
        <v>934</v>
      </c>
      <c r="D1028" s="58" t="s">
        <v>1407</v>
      </c>
    </row>
    <row r="1029" spans="1:4" s="115" customFormat="1" ht="29">
      <c r="A1029" s="114">
        <v>3</v>
      </c>
      <c r="B1029" s="114">
        <v>3</v>
      </c>
      <c r="C1029" s="58" t="s">
        <v>937</v>
      </c>
      <c r="D1029" s="58" t="s">
        <v>938</v>
      </c>
    </row>
    <row r="1030" spans="1:4" s="115" customFormat="1" ht="29">
      <c r="A1030" s="114">
        <v>3</v>
      </c>
      <c r="B1030" s="114">
        <v>1</v>
      </c>
      <c r="C1030" s="58" t="s">
        <v>2635</v>
      </c>
      <c r="D1030" s="58" t="s">
        <v>2636</v>
      </c>
    </row>
    <row r="1031" spans="1:4" s="115" customFormat="1" ht="34.5" customHeight="1">
      <c r="A1031" s="114">
        <v>3</v>
      </c>
      <c r="B1031" s="114">
        <v>2</v>
      </c>
      <c r="C1031" s="58" t="s">
        <v>2637</v>
      </c>
      <c r="D1031" s="58" t="s">
        <v>2638</v>
      </c>
    </row>
    <row r="1032" spans="1:4" s="115" customFormat="1" ht="21" customHeight="1">
      <c r="A1032" s="114">
        <v>3</v>
      </c>
      <c r="B1032" s="114">
        <v>3</v>
      </c>
      <c r="C1032" s="58" t="s">
        <v>939</v>
      </c>
      <c r="D1032" s="58" t="s">
        <v>940</v>
      </c>
    </row>
    <row r="1033" spans="1:4" s="118" customFormat="1" ht="29">
      <c r="A1033" s="116">
        <v>3</v>
      </c>
      <c r="B1033" s="116">
        <v>3</v>
      </c>
      <c r="C1033" s="117" t="s">
        <v>2964</v>
      </c>
      <c r="D1033" s="117" t="s">
        <v>3044</v>
      </c>
    </row>
    <row r="1034" spans="1:4" s="115" customFormat="1">
      <c r="A1034" s="114">
        <v>3</v>
      </c>
      <c r="B1034" s="114">
        <v>3</v>
      </c>
      <c r="C1034" s="58" t="s">
        <v>941</v>
      </c>
      <c r="D1034" s="58" t="s">
        <v>942</v>
      </c>
    </row>
    <row r="1035" spans="1:4" s="115" customFormat="1">
      <c r="A1035" s="114">
        <v>3</v>
      </c>
      <c r="B1035" s="114">
        <v>3</v>
      </c>
      <c r="C1035" s="58" t="s">
        <v>2720</v>
      </c>
      <c r="D1035" s="58" t="s">
        <v>943</v>
      </c>
    </row>
    <row r="1036" spans="1:4" s="115" customFormat="1" ht="29">
      <c r="A1036" s="114">
        <v>3</v>
      </c>
      <c r="B1036" s="114">
        <v>3</v>
      </c>
      <c r="C1036" s="58" t="s">
        <v>2639</v>
      </c>
      <c r="D1036" s="58" t="s">
        <v>944</v>
      </c>
    </row>
    <row r="1037" spans="1:4" s="115" customFormat="1">
      <c r="A1037" s="114">
        <v>3</v>
      </c>
      <c r="B1037" s="114">
        <v>4</v>
      </c>
      <c r="C1037" s="58" t="s">
        <v>2640</v>
      </c>
      <c r="D1037" s="58" t="s">
        <v>945</v>
      </c>
    </row>
    <row r="1038" spans="1:4" s="115" customFormat="1">
      <c r="A1038" s="114">
        <v>3</v>
      </c>
      <c r="B1038" s="114">
        <v>4</v>
      </c>
      <c r="C1038" s="58" t="s">
        <v>2641</v>
      </c>
      <c r="D1038" s="58" t="s">
        <v>946</v>
      </c>
    </row>
    <row r="1039" spans="1:4" s="115" customFormat="1">
      <c r="A1039" s="114">
        <v>3</v>
      </c>
      <c r="B1039" s="114">
        <v>4</v>
      </c>
      <c r="C1039" s="58" t="s">
        <v>2642</v>
      </c>
      <c r="D1039" s="58" t="s">
        <v>947</v>
      </c>
    </row>
    <row r="1040" spans="1:4" s="115" customFormat="1">
      <c r="A1040" s="114">
        <v>3</v>
      </c>
      <c r="B1040" s="114">
        <v>3</v>
      </c>
      <c r="C1040" s="58" t="s">
        <v>2643</v>
      </c>
      <c r="D1040" s="58" t="s">
        <v>2730</v>
      </c>
    </row>
    <row r="1041" spans="1:4" s="115" customFormat="1" ht="19.5" customHeight="1">
      <c r="A1041" s="114">
        <v>3</v>
      </c>
      <c r="B1041" s="114">
        <v>4</v>
      </c>
      <c r="C1041" s="58" t="s">
        <v>3155</v>
      </c>
      <c r="D1041" s="58" t="s">
        <v>1408</v>
      </c>
    </row>
    <row r="1042" spans="1:4" s="115" customFormat="1">
      <c r="A1042" s="114">
        <v>3</v>
      </c>
      <c r="B1042" s="114">
        <v>4</v>
      </c>
      <c r="C1042" s="58" t="s">
        <v>3223</v>
      </c>
      <c r="D1042" s="58" t="s">
        <v>1409</v>
      </c>
    </row>
    <row r="1043" spans="1:4" s="115" customFormat="1">
      <c r="A1043" s="114">
        <v>3</v>
      </c>
      <c r="B1043" s="114">
        <v>4</v>
      </c>
      <c r="C1043" s="122" t="s">
        <v>3224</v>
      </c>
      <c r="D1043" s="58" t="s">
        <v>1410</v>
      </c>
    </row>
    <row r="1044" spans="1:4" s="115" customFormat="1">
      <c r="A1044" s="114">
        <v>3</v>
      </c>
      <c r="B1044" s="114">
        <v>4</v>
      </c>
      <c r="C1044" s="58" t="s">
        <v>3156</v>
      </c>
      <c r="D1044" s="58" t="s">
        <v>1411</v>
      </c>
    </row>
    <row r="1045" spans="1:4" s="115" customFormat="1" ht="23" customHeight="1">
      <c r="A1045" s="114">
        <v>3</v>
      </c>
      <c r="B1045" s="114">
        <v>4</v>
      </c>
      <c r="C1045" s="58" t="s">
        <v>3157</v>
      </c>
      <c r="D1045" s="58" t="s">
        <v>948</v>
      </c>
    </row>
    <row r="1046" spans="1:4" s="115" customFormat="1">
      <c r="A1046" s="114">
        <v>3</v>
      </c>
      <c r="B1046" s="114">
        <v>4</v>
      </c>
      <c r="C1046" s="58" t="s">
        <v>3158</v>
      </c>
      <c r="D1046" s="58" t="s">
        <v>949</v>
      </c>
    </row>
    <row r="1047" spans="1:4" s="115" customFormat="1">
      <c r="A1047" s="114">
        <v>3</v>
      </c>
      <c r="B1047" s="114">
        <v>4</v>
      </c>
      <c r="C1047" s="58" t="s">
        <v>3159</v>
      </c>
      <c r="D1047" s="58" t="s">
        <v>2644</v>
      </c>
    </row>
    <row r="1048" spans="1:4" s="115" customFormat="1">
      <c r="A1048" s="114">
        <v>3</v>
      </c>
      <c r="B1048" s="114">
        <v>4</v>
      </c>
      <c r="C1048" s="58" t="s">
        <v>3160</v>
      </c>
      <c r="D1048" s="58" t="s">
        <v>2645</v>
      </c>
    </row>
    <row r="1049" spans="1:4" s="115" customFormat="1">
      <c r="A1049" s="114">
        <v>3</v>
      </c>
      <c r="B1049" s="114">
        <v>4</v>
      </c>
      <c r="C1049" s="58" t="s">
        <v>3161</v>
      </c>
      <c r="D1049" s="58" t="s">
        <v>2646</v>
      </c>
    </row>
    <row r="1050" spans="1:4" s="115" customFormat="1" ht="29">
      <c r="A1050" s="114">
        <v>3</v>
      </c>
      <c r="B1050" s="114">
        <v>2</v>
      </c>
      <c r="C1050" s="58" t="s">
        <v>2647</v>
      </c>
      <c r="D1050" s="58" t="s">
        <v>950</v>
      </c>
    </row>
    <row r="1051" spans="1:4" s="115" customFormat="1">
      <c r="A1051" s="114">
        <v>3</v>
      </c>
      <c r="B1051" s="114">
        <v>3</v>
      </c>
      <c r="C1051" s="58" t="s">
        <v>2648</v>
      </c>
      <c r="D1051" s="58" t="s">
        <v>951</v>
      </c>
    </row>
    <row r="1052" spans="1:4" s="118" customFormat="1">
      <c r="A1052" s="116">
        <v>3</v>
      </c>
      <c r="B1052" s="116">
        <v>3</v>
      </c>
      <c r="C1052" s="117" t="s">
        <v>2962</v>
      </c>
      <c r="D1052" s="117" t="s">
        <v>2963</v>
      </c>
    </row>
    <row r="1053" spans="1:4" s="115" customFormat="1">
      <c r="A1053" s="114">
        <v>3</v>
      </c>
      <c r="B1053" s="114">
        <v>3</v>
      </c>
      <c r="C1053" s="58" t="s">
        <v>2649</v>
      </c>
      <c r="D1053" s="58" t="s">
        <v>952</v>
      </c>
    </row>
    <row r="1054" spans="1:4" s="115" customFormat="1" ht="22" customHeight="1">
      <c r="A1054" s="114">
        <v>3</v>
      </c>
      <c r="B1054" s="114">
        <v>3</v>
      </c>
      <c r="C1054" s="58" t="s">
        <v>3225</v>
      </c>
      <c r="D1054" s="58" t="s">
        <v>2650</v>
      </c>
    </row>
    <row r="1055" spans="1:4" s="115" customFormat="1" ht="29">
      <c r="A1055" s="114">
        <v>3</v>
      </c>
      <c r="B1055" s="114">
        <v>2</v>
      </c>
      <c r="C1055" s="58" t="s">
        <v>2651</v>
      </c>
      <c r="D1055" s="58" t="s">
        <v>2652</v>
      </c>
    </row>
    <row r="1056" spans="1:4" s="115" customFormat="1" ht="29">
      <c r="A1056" s="114">
        <v>3</v>
      </c>
      <c r="B1056" s="114">
        <v>2</v>
      </c>
      <c r="C1056" s="58" t="s">
        <v>2653</v>
      </c>
      <c r="D1056" s="58" t="s">
        <v>953</v>
      </c>
    </row>
    <row r="1057" spans="1:4" s="115" customFormat="1">
      <c r="A1057" s="114">
        <v>3</v>
      </c>
      <c r="B1057" s="114">
        <v>3</v>
      </c>
      <c r="C1057" s="58" t="s">
        <v>2654</v>
      </c>
      <c r="D1057" s="58" t="s">
        <v>954</v>
      </c>
    </row>
    <row r="1058" spans="1:4" s="115" customFormat="1">
      <c r="A1058" s="114">
        <v>3</v>
      </c>
      <c r="B1058" s="114">
        <v>3</v>
      </c>
      <c r="C1058" s="58" t="s">
        <v>2655</v>
      </c>
      <c r="D1058" s="58" t="s">
        <v>955</v>
      </c>
    </row>
    <row r="1059" spans="1:4" s="115" customFormat="1" ht="29">
      <c r="A1059" s="114">
        <v>3</v>
      </c>
      <c r="B1059" s="114">
        <v>2</v>
      </c>
      <c r="C1059" s="58" t="s">
        <v>2656</v>
      </c>
      <c r="D1059" s="58" t="s">
        <v>2657</v>
      </c>
    </row>
    <row r="1060" spans="1:4" s="115" customFormat="1">
      <c r="A1060" s="114">
        <v>3</v>
      </c>
      <c r="B1060" s="114">
        <v>3</v>
      </c>
      <c r="C1060" s="58" t="s">
        <v>2658</v>
      </c>
      <c r="D1060" s="58" t="s">
        <v>959</v>
      </c>
    </row>
    <row r="1061" spans="1:4" s="115" customFormat="1">
      <c r="A1061" s="114">
        <v>3</v>
      </c>
      <c r="B1061" s="114">
        <v>3</v>
      </c>
      <c r="C1061" s="58" t="s">
        <v>2659</v>
      </c>
      <c r="D1061" s="58" t="s">
        <v>960</v>
      </c>
    </row>
    <row r="1062" spans="1:4" s="115" customFormat="1">
      <c r="A1062" s="114">
        <v>3</v>
      </c>
      <c r="B1062" s="114">
        <v>3</v>
      </c>
      <c r="C1062" s="58" t="s">
        <v>2660</v>
      </c>
      <c r="D1062" s="58" t="s">
        <v>961</v>
      </c>
    </row>
    <row r="1063" spans="1:4" s="115" customFormat="1">
      <c r="A1063" s="114">
        <v>3</v>
      </c>
      <c r="B1063" s="114">
        <v>3</v>
      </c>
      <c r="C1063" s="58" t="s">
        <v>962</v>
      </c>
      <c r="D1063" s="58" t="s">
        <v>963</v>
      </c>
    </row>
    <row r="1064" spans="1:4" s="115" customFormat="1">
      <c r="A1064" s="114">
        <v>3</v>
      </c>
      <c r="B1064" s="114">
        <v>3</v>
      </c>
      <c r="C1064" s="58" t="s">
        <v>964</v>
      </c>
      <c r="D1064" s="58" t="s">
        <v>965</v>
      </c>
    </row>
    <row r="1065" spans="1:4" s="115" customFormat="1">
      <c r="A1065" s="114">
        <v>3</v>
      </c>
      <c r="B1065" s="114">
        <v>3</v>
      </c>
      <c r="C1065" s="58" t="s">
        <v>2997</v>
      </c>
      <c r="D1065" s="58" t="s">
        <v>2998</v>
      </c>
    </row>
    <row r="1066" spans="1:4" s="115" customFormat="1">
      <c r="A1066" s="114">
        <v>3</v>
      </c>
      <c r="B1066" s="114">
        <v>3</v>
      </c>
      <c r="C1066" s="58" t="s">
        <v>2661</v>
      </c>
      <c r="D1066" s="58" t="s">
        <v>2731</v>
      </c>
    </row>
    <row r="1067" spans="1:4" s="115" customFormat="1">
      <c r="A1067" s="114">
        <v>3</v>
      </c>
      <c r="B1067" s="114">
        <v>4</v>
      </c>
      <c r="C1067" s="58" t="s">
        <v>2662</v>
      </c>
      <c r="D1067" s="58" t="s">
        <v>2732</v>
      </c>
    </row>
    <row r="1068" spans="1:4" s="115" customFormat="1">
      <c r="A1068" s="114">
        <v>3</v>
      </c>
      <c r="B1068" s="114">
        <v>4</v>
      </c>
      <c r="C1068" s="58" t="s">
        <v>2663</v>
      </c>
      <c r="D1068" s="58" t="s">
        <v>2733</v>
      </c>
    </row>
    <row r="1069" spans="1:4" s="115" customFormat="1">
      <c r="A1069" s="114">
        <v>3</v>
      </c>
      <c r="B1069" s="114">
        <v>4</v>
      </c>
      <c r="C1069" s="58" t="s">
        <v>3162</v>
      </c>
      <c r="D1069" s="58" t="s">
        <v>2734</v>
      </c>
    </row>
    <row r="1070" spans="1:4" s="115" customFormat="1" ht="29">
      <c r="A1070" s="114">
        <v>3</v>
      </c>
      <c r="B1070" s="114">
        <v>2</v>
      </c>
      <c r="C1070" s="58" t="s">
        <v>608</v>
      </c>
      <c r="D1070" s="58" t="s">
        <v>966</v>
      </c>
    </row>
    <row r="1071" spans="1:4" s="115" customFormat="1" ht="24.5" customHeight="1">
      <c r="A1071" s="114">
        <v>3</v>
      </c>
      <c r="B1071" s="114">
        <v>3</v>
      </c>
      <c r="C1071" s="58" t="s">
        <v>609</v>
      </c>
      <c r="D1071" s="58" t="s">
        <v>2991</v>
      </c>
    </row>
    <row r="1072" spans="1:4" s="115" customFormat="1">
      <c r="A1072" s="114">
        <v>3</v>
      </c>
      <c r="B1072" s="114">
        <v>3</v>
      </c>
      <c r="C1072" s="58" t="s">
        <v>2664</v>
      </c>
      <c r="D1072" s="58" t="s">
        <v>967</v>
      </c>
    </row>
    <row r="1073" spans="1:4" s="115" customFormat="1">
      <c r="A1073" s="114">
        <v>3</v>
      </c>
      <c r="B1073" s="114">
        <v>3</v>
      </c>
      <c r="C1073" s="58" t="s">
        <v>610</v>
      </c>
      <c r="D1073" s="58" t="s">
        <v>2665</v>
      </c>
    </row>
    <row r="1074" spans="1:4" s="115" customFormat="1">
      <c r="A1074" s="114">
        <v>3</v>
      </c>
      <c r="B1074" s="114">
        <v>4</v>
      </c>
      <c r="C1074" s="58" t="s">
        <v>2666</v>
      </c>
      <c r="D1074" s="58" t="s">
        <v>2667</v>
      </c>
    </row>
    <row r="1075" spans="1:4" s="115" customFormat="1">
      <c r="A1075" s="114">
        <v>3</v>
      </c>
      <c r="B1075" s="114">
        <v>4</v>
      </c>
      <c r="C1075" s="58" t="s">
        <v>1930</v>
      </c>
      <c r="D1075" s="58" t="s">
        <v>2668</v>
      </c>
    </row>
    <row r="1076" spans="1:4" s="115" customFormat="1" ht="24" customHeight="1">
      <c r="A1076" s="114">
        <v>3</v>
      </c>
      <c r="B1076" s="114">
        <v>4</v>
      </c>
      <c r="C1076" s="58" t="s">
        <v>3163</v>
      </c>
      <c r="D1076" s="58" t="s">
        <v>2669</v>
      </c>
    </row>
    <row r="1077" spans="1:4" s="115" customFormat="1" ht="29">
      <c r="A1077" s="114">
        <v>3</v>
      </c>
      <c r="B1077" s="114">
        <v>2</v>
      </c>
      <c r="C1077" s="58" t="s">
        <v>968</v>
      </c>
      <c r="D1077" s="58" t="s">
        <v>969</v>
      </c>
    </row>
    <row r="1078" spans="1:4" s="115" customFormat="1">
      <c r="A1078" s="114">
        <v>3</v>
      </c>
      <c r="B1078" s="114">
        <v>3</v>
      </c>
      <c r="C1078" s="58" t="s">
        <v>2670</v>
      </c>
      <c r="D1078" s="58" t="s">
        <v>2671</v>
      </c>
    </row>
    <row r="1079" spans="1:4" s="115" customFormat="1" ht="43.5">
      <c r="A1079" s="114">
        <v>3</v>
      </c>
      <c r="B1079" s="114">
        <v>3</v>
      </c>
      <c r="C1079" s="58" t="s">
        <v>2672</v>
      </c>
      <c r="D1079" s="113" t="s">
        <v>3230</v>
      </c>
    </row>
    <row r="1080" spans="1:4" s="115" customFormat="1">
      <c r="A1080" s="114">
        <v>3</v>
      </c>
      <c r="B1080" s="114">
        <v>4</v>
      </c>
      <c r="C1080" s="58" t="s">
        <v>2673</v>
      </c>
      <c r="D1080" s="58" t="s">
        <v>2674</v>
      </c>
    </row>
    <row r="1081" spans="1:4" s="115" customFormat="1">
      <c r="A1081" s="114">
        <v>3</v>
      </c>
      <c r="B1081" s="114">
        <v>4</v>
      </c>
      <c r="C1081" s="58" t="s">
        <v>2675</v>
      </c>
      <c r="D1081" s="58" t="s">
        <v>2676</v>
      </c>
    </row>
    <row r="1082" spans="1:4" s="115" customFormat="1">
      <c r="A1082" s="114">
        <v>3</v>
      </c>
      <c r="B1082" s="114">
        <v>4</v>
      </c>
      <c r="C1082" s="58" t="s">
        <v>2677</v>
      </c>
      <c r="D1082" s="58" t="s">
        <v>2678</v>
      </c>
    </row>
    <row r="1083" spans="1:4" s="115" customFormat="1" ht="43.5">
      <c r="A1083" s="114">
        <v>3</v>
      </c>
      <c r="B1083" s="114">
        <v>2</v>
      </c>
      <c r="C1083" s="58" t="s">
        <v>2679</v>
      </c>
      <c r="D1083" s="58" t="s">
        <v>2680</v>
      </c>
    </row>
    <row r="1084" spans="1:4" s="115" customFormat="1">
      <c r="A1084" s="114">
        <v>3</v>
      </c>
      <c r="B1084" s="114">
        <v>3</v>
      </c>
      <c r="C1084" s="58" t="s">
        <v>2681</v>
      </c>
      <c r="D1084" s="58" t="s">
        <v>970</v>
      </c>
    </row>
    <row r="1085" spans="1:4" s="115" customFormat="1">
      <c r="A1085" s="114">
        <v>3</v>
      </c>
      <c r="B1085" s="114">
        <v>3</v>
      </c>
      <c r="C1085" s="58" t="s">
        <v>2682</v>
      </c>
      <c r="D1085" s="58" t="s">
        <v>971</v>
      </c>
    </row>
    <row r="1086" spans="1:4" s="115" customFormat="1">
      <c r="A1086" s="114">
        <v>3</v>
      </c>
      <c r="B1086" s="114">
        <v>3</v>
      </c>
      <c r="C1086" s="58" t="s">
        <v>2683</v>
      </c>
      <c r="D1086" s="58" t="s">
        <v>972</v>
      </c>
    </row>
    <row r="1087" spans="1:4" s="115" customFormat="1">
      <c r="A1087" s="114">
        <v>3</v>
      </c>
      <c r="B1087" s="114">
        <v>3</v>
      </c>
      <c r="C1087" s="58" t="s">
        <v>2684</v>
      </c>
      <c r="D1087" s="58" t="s">
        <v>973</v>
      </c>
    </row>
    <row r="1088" spans="1:4" s="115" customFormat="1">
      <c r="A1088" s="114">
        <v>3</v>
      </c>
      <c r="B1088" s="114">
        <v>3</v>
      </c>
      <c r="C1088" s="58" t="s">
        <v>2685</v>
      </c>
      <c r="D1088" s="58" t="s">
        <v>2686</v>
      </c>
    </row>
    <row r="1089" spans="1:4" s="115" customFormat="1" ht="21" customHeight="1">
      <c r="A1089" s="114">
        <v>3</v>
      </c>
      <c r="B1089" s="114">
        <v>4</v>
      </c>
      <c r="C1089" s="58" t="s">
        <v>3226</v>
      </c>
      <c r="D1089" s="58" t="s">
        <v>2687</v>
      </c>
    </row>
    <row r="1090" spans="1:4" s="115" customFormat="1">
      <c r="A1090" s="114">
        <v>3</v>
      </c>
      <c r="B1090" s="114">
        <v>4</v>
      </c>
      <c r="C1090" s="58" t="s">
        <v>3164</v>
      </c>
      <c r="D1090" s="58" t="s">
        <v>2688</v>
      </c>
    </row>
    <row r="1091" spans="1:4" s="115" customFormat="1">
      <c r="A1091" s="114">
        <v>3</v>
      </c>
      <c r="B1091" s="114">
        <v>4</v>
      </c>
      <c r="C1091" s="58" t="s">
        <v>3165</v>
      </c>
      <c r="D1091" s="58" t="s">
        <v>2689</v>
      </c>
    </row>
    <row r="1092" spans="1:4" s="115" customFormat="1" ht="29">
      <c r="A1092" s="114">
        <v>3</v>
      </c>
      <c r="B1092" s="114">
        <v>3</v>
      </c>
      <c r="C1092" s="58" t="s">
        <v>2690</v>
      </c>
      <c r="D1092" s="58" t="s">
        <v>2691</v>
      </c>
    </row>
    <row r="1093" spans="1:4" s="115" customFormat="1" ht="29">
      <c r="A1093" s="114">
        <v>3</v>
      </c>
      <c r="B1093" s="114">
        <v>2</v>
      </c>
      <c r="C1093" s="58" t="s">
        <v>2692</v>
      </c>
      <c r="D1093" s="58" t="s">
        <v>2693</v>
      </c>
    </row>
    <row r="1094" spans="1:4" s="115" customFormat="1" ht="29">
      <c r="A1094" s="114">
        <v>3</v>
      </c>
      <c r="B1094" s="114">
        <v>3</v>
      </c>
      <c r="C1094" s="58" t="s">
        <v>956</v>
      </c>
      <c r="D1094" s="58" t="s">
        <v>2694</v>
      </c>
    </row>
    <row r="1095" spans="1:4" s="115" customFormat="1" ht="29">
      <c r="A1095" s="114">
        <v>3</v>
      </c>
      <c r="B1095" s="114">
        <v>3</v>
      </c>
      <c r="C1095" s="58" t="s">
        <v>2695</v>
      </c>
      <c r="D1095" s="58" t="s">
        <v>2696</v>
      </c>
    </row>
    <row r="1096" spans="1:4" s="115" customFormat="1" ht="29">
      <c r="A1096" s="114">
        <v>3</v>
      </c>
      <c r="B1096" s="114">
        <v>3</v>
      </c>
      <c r="C1096" s="58" t="s">
        <v>2697</v>
      </c>
      <c r="D1096" s="58" t="s">
        <v>2698</v>
      </c>
    </row>
    <row r="1097" spans="1:4" s="115" customFormat="1" ht="29">
      <c r="A1097" s="114">
        <v>3</v>
      </c>
      <c r="B1097" s="114">
        <v>3</v>
      </c>
      <c r="C1097" s="58" t="s">
        <v>958</v>
      </c>
      <c r="D1097" s="58" t="s">
        <v>2699</v>
      </c>
    </row>
    <row r="1098" spans="1:4" s="115" customFormat="1" ht="29">
      <c r="A1098" s="114">
        <v>3</v>
      </c>
      <c r="B1098" s="114">
        <v>3</v>
      </c>
      <c r="C1098" s="58" t="s">
        <v>957</v>
      </c>
      <c r="D1098" s="58" t="s">
        <v>2700</v>
      </c>
    </row>
    <row r="1099" spans="1:4" s="9" customFormat="1" ht="15.5" hidden="1">
      <c r="A1099" s="162" t="s">
        <v>3009</v>
      </c>
      <c r="B1099" s="163"/>
      <c r="C1099" s="163"/>
      <c r="D1099" s="164"/>
    </row>
  </sheetData>
  <autoFilter ref="A2:D1099" xr:uid="{00000000-0009-0000-0000-000002000000}">
    <filterColumn colId="1">
      <customFilters>
        <customFilter operator="notEqual" val=" "/>
      </customFilters>
    </filterColumn>
  </autoFilter>
  <mergeCells count="2">
    <mergeCell ref="A1:D1"/>
    <mergeCell ref="A1099:D1099"/>
  </mergeCells>
  <pageMargins left="0.7" right="0.7" top="0.75" bottom="0.75" header="0.3" footer="0.3"/>
  <pageSetup scale="96" fitToHeight="0" orientation="landscape" r:id="rId1"/>
  <headerFooter>
    <oddFooter>&amp;LBusiness Architecture Guild Copyright 2019 &amp;RFinancial Services Reference Model v2.0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4"/>
  <sheetViews>
    <sheetView zoomScale="90" zoomScaleNormal="90" zoomScalePageLayoutView="110" workbookViewId="0">
      <selection activeCell="A4" sqref="A4"/>
    </sheetView>
  </sheetViews>
  <sheetFormatPr defaultColWidth="23.7265625" defaultRowHeight="14.5"/>
  <cols>
    <col min="1" max="1" width="33.81640625" style="1" customWidth="1"/>
    <col min="2" max="2" width="129.6328125" style="2" customWidth="1"/>
    <col min="3" max="16384" width="23.7265625" style="1"/>
  </cols>
  <sheetData>
    <row r="1" spans="1:4" s="44" customFormat="1" ht="18.5">
      <c r="A1" s="165" t="s">
        <v>18</v>
      </c>
      <c r="B1" s="166"/>
    </row>
    <row r="2" spans="1:4" s="44" customFormat="1" ht="15.5">
      <c r="A2" s="45" t="s">
        <v>17</v>
      </c>
      <c r="B2" s="46" t="s">
        <v>2179</v>
      </c>
    </row>
    <row r="3" spans="1:4" s="44" customFormat="1" ht="35" customHeight="1">
      <c r="A3" s="85" t="str">
        <f>'Acquire Asset'!$A$2</f>
        <v>Acquire Asset</v>
      </c>
      <c r="B3" s="160" t="str">
        <f>'Acquire Asset'!$C$2</f>
        <v>The end-to-end perspective of acquiring an asset, from initiating and approving the asset request, to sourcing and processing procurement orders and delivering the asset to the requester.</v>
      </c>
    </row>
    <row r="4" spans="1:4" s="44" customFormat="1" ht="18.5" customHeight="1">
      <c r="A4" s="85" t="s">
        <v>3049</v>
      </c>
      <c r="B4" s="71" t="s">
        <v>3062</v>
      </c>
    </row>
    <row r="5" spans="1:4" s="44" customFormat="1" ht="19.5" customHeight="1">
      <c r="A5" s="85" t="str">
        <f>'Conduct Audit'!$A$2</f>
        <v>Conduct Audit</v>
      </c>
      <c r="B5" s="71" t="str">
        <f>'Conduct Audit'!$C$2</f>
        <v>The end-to-end perspective of determining the degree to which the organization is adhering to established policies and regulations.</v>
      </c>
    </row>
    <row r="6" spans="1:4" s="44" customFormat="1" ht="15.5">
      <c r="A6" s="85" t="str">
        <f>'Create Policy'!$A$2</f>
        <v>Create Policy</v>
      </c>
      <c r="B6" s="124" t="str">
        <f>'Create Policy'!C2</f>
        <v xml:space="preserve">Activities involved in the end-to-end creation or update of policies that govern how the organization operates. </v>
      </c>
    </row>
    <row r="7" spans="1:4" s="44" customFormat="1" ht="15.5">
      <c r="A7" s="85" t="str">
        <f>'Deliver Event'!$A$2</f>
        <v>Deliver Meeting</v>
      </c>
      <c r="B7" s="71" t="str">
        <f>'Deliver Event'!$C$2</f>
        <v>The end-to-end perspective of planning and executing a meeting.</v>
      </c>
    </row>
    <row r="8" spans="1:4" s="44" customFormat="1" ht="15.5">
      <c r="A8" s="85" t="str">
        <f>'Deliver Program'!$A$2</f>
        <v xml:space="preserve">Deliver Program </v>
      </c>
      <c r="B8" s="71" t="str">
        <f>'Deliver Program'!$C$2</f>
        <v>The end-to-end perspective of planning and executing a program.</v>
      </c>
    </row>
    <row r="9" spans="1:4" s="44" customFormat="1" ht="31">
      <c r="A9" s="85" t="str">
        <f>'Deploy Asset'!$A$2</f>
        <v>Deploy Asset</v>
      </c>
      <c r="B9" s="71" t="str">
        <f>'Deploy Asset'!$C$2</f>
        <v>The end-to-end perspective of evaluating, building, assembling, maintaining, and readying the asset for use to fill a need within an organization.</v>
      </c>
    </row>
    <row r="10" spans="1:4" s="44" customFormat="1" ht="31">
      <c r="A10" s="85" t="str">
        <f>'Develop Human Resource Career'!$A$2</f>
        <v xml:space="preserve">Develop Human Resource Career </v>
      </c>
      <c r="B10" s="71" t="str">
        <f>'Develop Human Resource Career'!$C$2</f>
        <v>The end-to-end perspective of developing an individual's career, from performance assessment to skills and experience enhancement and individual redeployment.</v>
      </c>
    </row>
    <row r="11" spans="1:4" s="44" customFormat="1" ht="15.5">
      <c r="A11" s="85" t="str">
        <f>+'Develop and Launch Product'!$A$2</f>
        <v>Develop and Launch Product</v>
      </c>
      <c r="B11" s="71" t="str">
        <f>+'Develop and Launch Product'!C2</f>
        <v>Activities necessary for the introduction of a new or modified product.</v>
      </c>
    </row>
    <row r="12" spans="1:4" s="44" customFormat="1" ht="15.5">
      <c r="A12" s="85" t="str">
        <f>'Disseminate Information'!$A$2</f>
        <v>Disseminate Information</v>
      </c>
      <c r="B12" s="71" t="str">
        <f>'Disseminate Information'!$C$2</f>
        <v>The end-to-end perspective of requesting, creating, and delivering of information products to requester.</v>
      </c>
    </row>
    <row r="13" spans="1:4" s="44" customFormat="1" ht="34.5" customHeight="1">
      <c r="A13" s="85" t="str">
        <f>'Ensure Compliance'!$A$2</f>
        <v>Ensure Compliance</v>
      </c>
      <c r="B13" s="71" t="str">
        <f>'Ensure Compliance'!$C$2</f>
        <v>The end-to-end perspective of ensuring compliance with legislation and business-driven policies, from identifying compliance requirements to implementing controls, evaluating controls effectiveness, addressing compliance incidents, and reporting compliance as required.</v>
      </c>
    </row>
    <row r="14" spans="1:4" s="44" customFormat="1" ht="15.5">
      <c r="A14" s="85" t="str">
        <f>+'Establish Financial Agreement'!$A$2</f>
        <v>Establish Financial Agreement</v>
      </c>
      <c r="B14" s="71" t="str">
        <f>+'Establish Financial Agreement'!C2</f>
        <v>Activities necessary for establishing a new or updating an existing agreement.</v>
      </c>
      <c r="D14" s="47"/>
    </row>
    <row r="15" spans="1:4" s="44" customFormat="1" ht="34" customHeight="1">
      <c r="A15" s="85" t="str">
        <f>'Execute Campaign'!$A$2</f>
        <v>Execute Campaign</v>
      </c>
      <c r="B15" s="71" t="str">
        <f>'Execute Campaign'!$C$2</f>
        <v>The end-to-end perspective of executing a campaign, from identifying the need for a campaign, to planning, designing, implementing, and measuring the effectiveness of the campaign.</v>
      </c>
    </row>
    <row r="16" spans="1:4" s="44" customFormat="1" ht="15.5">
      <c r="A16" s="85" t="str">
        <f>+'Execute Transaction'!$A$2</f>
        <v>Execute Transaction</v>
      </c>
      <c r="B16" s="71" t="str">
        <f>+'Execute Transaction'!C2</f>
        <v>Activities involved in completing a transaction for an agreement.</v>
      </c>
    </row>
    <row r="17" spans="1:2" s="44" customFormat="1" ht="15.5">
      <c r="A17" s="85" t="str">
        <f>+'Resolve Issue or Inquiry'!A2</f>
        <v>Resolve Issue or Inquiry</v>
      </c>
      <c r="B17" s="71" t="str">
        <f>+'Resolve Issue or Inquiry'!C2</f>
        <v>Activities necessary to track and resolve an issue or exception reported by a customer or other stakeholder.</v>
      </c>
    </row>
    <row r="18" spans="1:2" s="44" customFormat="1" ht="20.5" customHeight="1">
      <c r="A18" s="85" t="str">
        <f>'Onboard Human Resource'!$A$2</f>
        <v>Onboard Human Resource</v>
      </c>
      <c r="B18" s="71" t="str">
        <f>'Onboard Human Resource'!$C$2</f>
        <v>The end-to-end perspective of identifying, exploring, and selecting an individual to fill a need within an organization.</v>
      </c>
    </row>
    <row r="19" spans="1:2" s="44" customFormat="1" ht="18" customHeight="1">
      <c r="A19" s="85" t="s">
        <v>3014</v>
      </c>
      <c r="B19" s="71" t="s">
        <v>3015</v>
      </c>
    </row>
    <row r="20" spans="1:2" s="44" customFormat="1" ht="31">
      <c r="A20" s="85" t="str">
        <f>+'Optimize Investments'!$A$2</f>
        <v>Optimize Investments</v>
      </c>
      <c r="B20" s="71" t="str">
        <f>'Optimize Investments'!$C$2</f>
        <v>The end-to-end perspective of deciding where to make investments, based on the understanding of the enterprise's goals, strategy, current positions, and external forces.</v>
      </c>
    </row>
    <row r="21" spans="1:2" s="44" customFormat="1" ht="36.75" customHeight="1">
      <c r="A21" s="85" t="str">
        <f>'Report Financials'!$A$2</f>
        <v>Report Financials</v>
      </c>
      <c r="B21" s="71" t="str">
        <f>'Report Financials'!C2</f>
        <v>The end-to-end perspective of preparing, approving, and releasing external financial statements that disclose an organization's financial status to management, investors, and the government.</v>
      </c>
    </row>
    <row r="22" spans="1:2" s="44" customFormat="1" ht="32.5" customHeight="1">
      <c r="A22" s="85" t="str">
        <f>'Settle Accounts'!$A$2</f>
        <v xml:space="preserve">Settle Accounts
</v>
      </c>
      <c r="B22" s="71" t="str">
        <f>'Settle Accounts'!$C$2</f>
        <v xml:space="preserve">The end-to-end perspective enabling the bi-directional exchange of payments between an organization and a customer, partner, or human resource.
</v>
      </c>
    </row>
    <row r="23" spans="1:2" s="44" customFormat="1" ht="22" customHeight="1">
      <c r="A23" s="85" t="str">
        <f>+'Trade Financial Instrument'!A2</f>
        <v>Trade Financial Instrument</v>
      </c>
      <c r="B23" s="71" t="str">
        <f>+'Trade Financial Instrument'!C2</f>
        <v xml:space="preserve">The act of executing a financial instrument trade, including clearing and settlement. </v>
      </c>
    </row>
    <row r="24" spans="1:2" s="44" customFormat="1" ht="15.5">
      <c r="A24" s="86" t="s">
        <v>3045</v>
      </c>
      <c r="B24" s="87"/>
    </row>
    <row r="25" spans="1:2" s="44" customFormat="1">
      <c r="B25" s="31"/>
    </row>
    <row r="26" spans="1:2" s="44" customFormat="1">
      <c r="B26" s="31"/>
    </row>
    <row r="27" spans="1:2" s="44" customFormat="1">
      <c r="B27" s="31"/>
    </row>
    <row r="28" spans="1:2" s="44" customFormat="1">
      <c r="B28" s="31"/>
    </row>
    <row r="29" spans="1:2" s="44" customFormat="1">
      <c r="B29" s="31"/>
    </row>
    <row r="30" spans="1:2" s="44" customFormat="1">
      <c r="B30" s="31"/>
    </row>
    <row r="31" spans="1:2" s="44" customFormat="1">
      <c r="B31" s="31"/>
    </row>
    <row r="32" spans="1:2" s="44" customFormat="1">
      <c r="B32" s="31"/>
    </row>
    <row r="33" spans="2:2" s="44" customFormat="1">
      <c r="B33" s="31"/>
    </row>
    <row r="34" spans="2:2" s="44" customFormat="1">
      <c r="B34" s="31"/>
    </row>
    <row r="35" spans="2:2" s="44" customFormat="1">
      <c r="B35" s="31"/>
    </row>
    <row r="36" spans="2:2" s="44" customFormat="1">
      <c r="B36" s="31"/>
    </row>
    <row r="37" spans="2:2" s="44" customFormat="1">
      <c r="B37" s="31"/>
    </row>
    <row r="38" spans="2:2" s="44" customFormat="1">
      <c r="B38" s="31"/>
    </row>
    <row r="39" spans="2:2" s="44" customFormat="1">
      <c r="B39" s="31"/>
    </row>
    <row r="40" spans="2:2" s="44" customFormat="1">
      <c r="B40" s="31"/>
    </row>
    <row r="41" spans="2:2" s="44" customFormat="1">
      <c r="B41" s="31"/>
    </row>
    <row r="42" spans="2:2" s="44" customFormat="1">
      <c r="B42" s="31"/>
    </row>
    <row r="43" spans="2:2" s="44" customFormat="1">
      <c r="B43" s="31"/>
    </row>
    <row r="44" spans="2:2" s="44" customFormat="1">
      <c r="B44" s="31"/>
    </row>
  </sheetData>
  <mergeCells count="1">
    <mergeCell ref="A1:B1"/>
  </mergeCells>
  <hyperlinks>
    <hyperlink ref="A20" location="'Optimize Investments'!A1" display="'Optimize Investments'!A1" xr:uid="{00000000-0004-0000-0300-000000000000}"/>
    <hyperlink ref="A21" location="'Report Financials'!A1" display="'Report Financials'!A1" xr:uid="{00000000-0004-0000-0300-000001000000}"/>
    <hyperlink ref="A6" location="'Create Policy'!A1" display="'Create Policy'!A1" xr:uid="{00000000-0004-0000-0300-000002000000}"/>
    <hyperlink ref="A3" location="'Acquire Asset'!Print_Area" display="'Acquire Asset'!Print_Area" xr:uid="{00000000-0004-0000-0300-000004000000}"/>
    <hyperlink ref="A11" location="'Develop and Launch Product'!A1" display="'Develop and Launch Product'!A1" xr:uid="{00000000-0004-0000-0300-000006000000}"/>
    <hyperlink ref="A16" location="'Execute Transaction'!A1" display="'Execute Transaction'!A1" xr:uid="{00000000-0004-0000-0300-000007000000}"/>
    <hyperlink ref="A23" location="'Trade Financial Instrument'!A1" display="'Trade Financial Instrument'!A1" xr:uid="{00000000-0004-0000-0300-000008000000}"/>
    <hyperlink ref="A17" location="'Resolve Issue or Inquiry'!A1" display="'Resolve Issue or Inquiry'!A1" xr:uid="{00000000-0004-0000-0300-000009000000}"/>
    <hyperlink ref="A8" location="'Deliver Program'!A1" display="'Deliver Program'!A1" xr:uid="{00000000-0004-0000-0300-00000A000000}"/>
    <hyperlink ref="A5" location="'Conduct Audit'!A1" display="'Conduct Audit'!A1" xr:uid="{00000000-0004-0000-0300-00000B000000}"/>
    <hyperlink ref="A7" location="'Deliver Event'!A1" display="'Deliver Event'!A1" xr:uid="{00000000-0004-0000-0300-00000C000000}"/>
    <hyperlink ref="A14" location="'Establish Financial Agreement'!A1" display="'Establish Financial Agreement'!A1" xr:uid="{00000000-0004-0000-0300-00000D000000}"/>
    <hyperlink ref="A9" location="'Deploy Asset'!A1" display="'Deploy Asset'!A1" xr:uid="{00000000-0004-0000-0300-00000E000000}"/>
    <hyperlink ref="B12" location="'Deploy Asset '!A1" display="'Deploy Asset '!A1" xr:uid="{00000000-0004-0000-0300-00000F000000}"/>
    <hyperlink ref="A10" location="'Develop Human Resource Career'!A1" display="'Develop Human Resource Career'!A1" xr:uid="{00000000-0004-0000-0300-000010000000}"/>
    <hyperlink ref="A12" location="'Disseminate Information'!A1" display="'Disseminate Information'!A1" xr:uid="{00000000-0004-0000-0300-000011000000}"/>
    <hyperlink ref="A13" location="'Ensure Compliance'!A1" display="'Ensure Compliance'!A1" xr:uid="{00000000-0004-0000-0300-000012000000}"/>
    <hyperlink ref="A15" location="'Execute Campaign'!A1" display="'Execute Campaign'!A1" xr:uid="{00000000-0004-0000-0300-000013000000}"/>
    <hyperlink ref="A18" location="'Onboard Human Resource'!A1" display="'Onboard Human Resource'!A1" xr:uid="{00000000-0004-0000-0300-000014000000}"/>
    <hyperlink ref="A22" location="'Settle Accounts'!A1" display="'Settle Accounts'!A1" xr:uid="{00000000-0004-0000-0300-000015000000}"/>
    <hyperlink ref="A19" location="'Onboard Partner'!A1" display="Onboard Partner" xr:uid="{00000000-0004-0000-0300-000016000000}"/>
    <hyperlink ref="A4" location="'Acquire Servicing Portfolio'!A1" display="Acquire Servicing Portfolio" xr:uid="{00000000-0004-0000-0300-000017000000}"/>
  </hyperlinks>
  <pageMargins left="0.7" right="0.7" top="0.75" bottom="0.75" header="0.3" footer="0.3"/>
  <pageSetup orientation="landscape" r:id="rId1"/>
  <headerFooter>
    <oddFooter>&amp;LBusiness Architecture Guild Copyright 2019 &amp;RFinancial Services Reference Model v2.0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58"/>
  <sheetViews>
    <sheetView zoomScale="80" zoomScaleNormal="80" zoomScalePageLayoutView="110" workbookViewId="0">
      <selection sqref="A1:F1"/>
    </sheetView>
  </sheetViews>
  <sheetFormatPr defaultRowHeight="14.5"/>
  <cols>
    <col min="1" max="1" width="19.1796875" customWidth="1"/>
    <col min="2" max="2" width="18" customWidth="1"/>
    <col min="3" max="3" width="47.1796875" customWidth="1"/>
    <col min="4" max="4" width="34.54296875" customWidth="1"/>
    <col min="5" max="5" width="45.81640625" customWidth="1"/>
    <col min="6" max="6" width="28.6328125" customWidth="1"/>
  </cols>
  <sheetData>
    <row r="1" spans="1:6" s="8" customFormat="1" ht="22.5" customHeight="1">
      <c r="A1" s="168" t="s">
        <v>3227</v>
      </c>
      <c r="B1" s="169"/>
      <c r="C1" s="169"/>
      <c r="D1" s="169"/>
      <c r="E1" s="169"/>
      <c r="F1" s="170"/>
    </row>
    <row r="2" spans="1:6" s="8" customFormat="1" ht="46.5" customHeight="1">
      <c r="A2" s="57" t="s">
        <v>2738</v>
      </c>
      <c r="B2" s="57" t="s">
        <v>2739</v>
      </c>
      <c r="C2" s="57" t="s">
        <v>2740</v>
      </c>
      <c r="D2" s="57" t="s">
        <v>2741</v>
      </c>
      <c r="E2" s="61" t="s">
        <v>2742</v>
      </c>
      <c r="F2" s="62" t="s">
        <v>2743</v>
      </c>
    </row>
    <row r="3" spans="1:6" s="139" customFormat="1" ht="43.5">
      <c r="A3" s="134" t="s">
        <v>2744</v>
      </c>
      <c r="B3" s="135" t="s">
        <v>2745</v>
      </c>
      <c r="C3" s="136" t="s">
        <v>2746</v>
      </c>
      <c r="D3" s="135" t="s">
        <v>3166</v>
      </c>
      <c r="E3" s="137" t="s">
        <v>2747</v>
      </c>
      <c r="F3" s="138" t="s">
        <v>2748</v>
      </c>
    </row>
    <row r="4" spans="1:6" s="139" customFormat="1" ht="58">
      <c r="A4" s="135" t="s">
        <v>2749</v>
      </c>
      <c r="B4" s="135" t="s">
        <v>2745</v>
      </c>
      <c r="C4" s="135" t="s">
        <v>3279</v>
      </c>
      <c r="D4" s="135" t="s">
        <v>3277</v>
      </c>
      <c r="E4" s="140" t="s">
        <v>3001</v>
      </c>
      <c r="F4" s="138" t="s">
        <v>2750</v>
      </c>
    </row>
    <row r="5" spans="1:6" s="139" customFormat="1" ht="72.5">
      <c r="A5" s="135" t="s">
        <v>2751</v>
      </c>
      <c r="B5" s="135" t="s">
        <v>2745</v>
      </c>
      <c r="C5" s="135" t="s">
        <v>2752</v>
      </c>
      <c r="D5" s="135" t="s">
        <v>2753</v>
      </c>
      <c r="E5" s="137" t="s">
        <v>3271</v>
      </c>
      <c r="F5" s="138" t="s">
        <v>2754</v>
      </c>
    </row>
    <row r="6" spans="1:6" s="139" customFormat="1" ht="29">
      <c r="A6" s="135" t="s">
        <v>2755</v>
      </c>
      <c r="B6" s="135" t="s">
        <v>2745</v>
      </c>
      <c r="C6" s="141" t="s">
        <v>2756</v>
      </c>
      <c r="D6" s="135" t="s">
        <v>2757</v>
      </c>
      <c r="E6" s="137" t="s">
        <v>2758</v>
      </c>
      <c r="F6" s="138" t="s">
        <v>2759</v>
      </c>
    </row>
    <row r="7" spans="1:6" s="142" customFormat="1" ht="46.5" customHeight="1">
      <c r="A7" s="132" t="s">
        <v>2821</v>
      </c>
      <c r="B7" s="133" t="s">
        <v>2745</v>
      </c>
      <c r="C7" s="132" t="s">
        <v>2822</v>
      </c>
      <c r="D7" s="132" t="s">
        <v>2823</v>
      </c>
      <c r="E7" s="132" t="s">
        <v>3278</v>
      </c>
      <c r="F7" s="132" t="s">
        <v>2824</v>
      </c>
    </row>
    <row r="8" spans="1:6" s="139" customFormat="1" ht="43.5">
      <c r="A8" s="135" t="s">
        <v>2760</v>
      </c>
      <c r="B8" s="135" t="s">
        <v>2745</v>
      </c>
      <c r="C8" s="135" t="s">
        <v>2761</v>
      </c>
      <c r="D8" s="135" t="s">
        <v>2762</v>
      </c>
      <c r="E8" s="137" t="s">
        <v>3272</v>
      </c>
      <c r="F8" s="138" t="s">
        <v>2763</v>
      </c>
    </row>
    <row r="9" spans="1:6" s="139" customFormat="1" ht="79.5" customHeight="1">
      <c r="A9" s="135" t="s">
        <v>2764</v>
      </c>
      <c r="B9" s="135" t="s">
        <v>2745</v>
      </c>
      <c r="C9" s="135" t="s">
        <v>2765</v>
      </c>
      <c r="D9" s="135" t="s">
        <v>2766</v>
      </c>
      <c r="E9" s="140" t="s">
        <v>3270</v>
      </c>
      <c r="F9" s="138" t="s">
        <v>2767</v>
      </c>
    </row>
    <row r="10" spans="1:6" s="139" customFormat="1" ht="29">
      <c r="A10" s="135" t="s">
        <v>2768</v>
      </c>
      <c r="B10" s="135" t="s">
        <v>2745</v>
      </c>
      <c r="C10" s="135" t="s">
        <v>2769</v>
      </c>
      <c r="D10" s="135" t="s">
        <v>2770</v>
      </c>
      <c r="E10" s="132" t="s">
        <v>3281</v>
      </c>
      <c r="F10" s="138" t="s">
        <v>2771</v>
      </c>
    </row>
    <row r="11" spans="1:6" s="139" customFormat="1" ht="58">
      <c r="A11" s="135" t="s">
        <v>2772</v>
      </c>
      <c r="B11" s="135" t="s">
        <v>2745</v>
      </c>
      <c r="C11" s="135" t="s">
        <v>2773</v>
      </c>
      <c r="D11" s="135" t="s">
        <v>2774</v>
      </c>
      <c r="E11" s="137" t="s">
        <v>2775</v>
      </c>
      <c r="F11" s="138" t="s">
        <v>2776</v>
      </c>
    </row>
    <row r="12" spans="1:6" s="139" customFormat="1" ht="29">
      <c r="A12" s="135" t="s">
        <v>2777</v>
      </c>
      <c r="B12" s="135" t="s">
        <v>2745</v>
      </c>
      <c r="C12" s="135" t="s">
        <v>2778</v>
      </c>
      <c r="D12" s="135" t="s">
        <v>2779</v>
      </c>
      <c r="E12" s="137" t="s">
        <v>3274</v>
      </c>
      <c r="F12" s="138" t="s">
        <v>2780</v>
      </c>
    </row>
    <row r="13" spans="1:6" s="139" customFormat="1" ht="43.5">
      <c r="A13" s="135" t="s">
        <v>2781</v>
      </c>
      <c r="B13" s="135" t="s">
        <v>2745</v>
      </c>
      <c r="C13" s="135" t="s">
        <v>2782</v>
      </c>
      <c r="D13" s="135" t="s">
        <v>2783</v>
      </c>
      <c r="E13" s="137" t="s">
        <v>3003</v>
      </c>
      <c r="F13" s="138" t="s">
        <v>2780</v>
      </c>
    </row>
    <row r="14" spans="1:6" s="139" customFormat="1">
      <c r="A14" s="135" t="s">
        <v>2784</v>
      </c>
      <c r="B14" s="134" t="s">
        <v>2785</v>
      </c>
      <c r="C14" s="134" t="s">
        <v>2786</v>
      </c>
      <c r="D14" s="134" t="s">
        <v>2774</v>
      </c>
      <c r="E14" s="137" t="s">
        <v>2788</v>
      </c>
      <c r="F14" s="138" t="s">
        <v>2787</v>
      </c>
    </row>
    <row r="15" spans="1:6" s="139" customFormat="1" ht="29">
      <c r="A15" s="135" t="s">
        <v>2788</v>
      </c>
      <c r="B15" s="134" t="s">
        <v>2785</v>
      </c>
      <c r="C15" s="134" t="s">
        <v>2789</v>
      </c>
      <c r="D15" s="134" t="s">
        <v>2790</v>
      </c>
      <c r="E15" s="137" t="s">
        <v>3004</v>
      </c>
      <c r="F15" s="138" t="s">
        <v>2787</v>
      </c>
    </row>
    <row r="16" spans="1:6" s="139" customFormat="1" ht="29">
      <c r="A16" s="135" t="s">
        <v>2853</v>
      </c>
      <c r="B16" s="134" t="s">
        <v>2785</v>
      </c>
      <c r="C16" s="134" t="s">
        <v>2854</v>
      </c>
      <c r="D16" s="134" t="s">
        <v>2790</v>
      </c>
      <c r="E16" s="140"/>
      <c r="F16" s="138" t="s">
        <v>2855</v>
      </c>
    </row>
    <row r="17" spans="1:6" s="139" customFormat="1" ht="29">
      <c r="A17" s="135" t="s">
        <v>2791</v>
      </c>
      <c r="B17" s="134" t="s">
        <v>2785</v>
      </c>
      <c r="C17" s="134" t="s">
        <v>2792</v>
      </c>
      <c r="D17" s="135" t="s">
        <v>2793</v>
      </c>
      <c r="E17" s="143" t="s">
        <v>2784</v>
      </c>
      <c r="F17" s="138" t="s">
        <v>2787</v>
      </c>
    </row>
    <row r="18" spans="1:6" s="139" customFormat="1" ht="43.5">
      <c r="A18" s="135" t="s">
        <v>2794</v>
      </c>
      <c r="B18" s="135" t="s">
        <v>2745</v>
      </c>
      <c r="C18" s="135" t="s">
        <v>3280</v>
      </c>
      <c r="D18" s="135" t="s">
        <v>2795</v>
      </c>
      <c r="E18" s="137" t="s">
        <v>3167</v>
      </c>
      <c r="F18" s="138" t="s">
        <v>2796</v>
      </c>
    </row>
    <row r="19" spans="1:6" s="147" customFormat="1" ht="29">
      <c r="A19" s="144" t="s">
        <v>2966</v>
      </c>
      <c r="B19" s="145" t="s">
        <v>2785</v>
      </c>
      <c r="C19" s="144" t="s">
        <v>3012</v>
      </c>
      <c r="D19" s="144" t="s">
        <v>2999</v>
      </c>
      <c r="E19" s="140" t="s">
        <v>3000</v>
      </c>
      <c r="F19" s="146" t="s">
        <v>2796</v>
      </c>
    </row>
    <row r="20" spans="1:6" s="139" customFormat="1" ht="65.5" customHeight="1">
      <c r="A20" s="135" t="s">
        <v>2797</v>
      </c>
      <c r="B20" s="135" t="s">
        <v>2745</v>
      </c>
      <c r="C20" s="135" t="s">
        <v>2798</v>
      </c>
      <c r="D20" s="135" t="s">
        <v>2799</v>
      </c>
      <c r="E20" s="137" t="s">
        <v>2800</v>
      </c>
      <c r="F20" s="138" t="s">
        <v>2801</v>
      </c>
    </row>
    <row r="21" spans="1:6" s="139" customFormat="1" ht="43.5">
      <c r="A21" s="135" t="s">
        <v>1084</v>
      </c>
      <c r="B21" s="135" t="s">
        <v>2745</v>
      </c>
      <c r="C21" s="135" t="s">
        <v>2802</v>
      </c>
      <c r="D21" s="135" t="s">
        <v>2803</v>
      </c>
      <c r="E21" s="137" t="s">
        <v>3273</v>
      </c>
      <c r="F21" s="138" t="s">
        <v>2804</v>
      </c>
    </row>
    <row r="22" spans="1:6" s="139" customFormat="1" ht="41.5" customHeight="1">
      <c r="A22" s="135" t="s">
        <v>1100</v>
      </c>
      <c r="B22" s="135" t="s">
        <v>2745</v>
      </c>
      <c r="C22" s="135" t="s">
        <v>2805</v>
      </c>
      <c r="D22" s="135" t="s">
        <v>2806</v>
      </c>
      <c r="E22" s="137" t="s">
        <v>2807</v>
      </c>
      <c r="F22" s="138" t="s">
        <v>2804</v>
      </c>
    </row>
    <row r="23" spans="1:6" s="139" customFormat="1" ht="29">
      <c r="A23" s="135" t="s">
        <v>2808</v>
      </c>
      <c r="B23" s="135" t="s">
        <v>2745</v>
      </c>
      <c r="C23" s="135" t="s">
        <v>2809</v>
      </c>
      <c r="D23" s="135" t="s">
        <v>2810</v>
      </c>
      <c r="E23" s="137" t="s">
        <v>2811</v>
      </c>
      <c r="F23" s="138" t="s">
        <v>2812</v>
      </c>
    </row>
    <row r="24" spans="1:6" s="139" customFormat="1" ht="43.5">
      <c r="A24" s="135" t="s">
        <v>2813</v>
      </c>
      <c r="B24" s="145" t="s">
        <v>2745</v>
      </c>
      <c r="C24" s="135" t="s">
        <v>3168</v>
      </c>
      <c r="D24" s="135" t="s">
        <v>2814</v>
      </c>
      <c r="E24" s="140" t="s">
        <v>3275</v>
      </c>
      <c r="F24" s="138" t="s">
        <v>2815</v>
      </c>
    </row>
    <row r="25" spans="1:6" s="139" customFormat="1" ht="43.5">
      <c r="A25" s="135" t="s">
        <v>2816</v>
      </c>
      <c r="B25" s="135" t="s">
        <v>2745</v>
      </c>
      <c r="C25" s="135" t="s">
        <v>2817</v>
      </c>
      <c r="D25" s="135" t="s">
        <v>2818</v>
      </c>
      <c r="E25" s="137" t="s">
        <v>2819</v>
      </c>
      <c r="F25" s="58" t="s">
        <v>2820</v>
      </c>
    </row>
    <row r="26" spans="1:6" s="139" customFormat="1" ht="43.5">
      <c r="A26" s="135" t="s">
        <v>2821</v>
      </c>
      <c r="B26" s="134" t="s">
        <v>2745</v>
      </c>
      <c r="C26" s="135" t="s">
        <v>2822</v>
      </c>
      <c r="D26" s="135" t="s">
        <v>2823</v>
      </c>
      <c r="E26" s="137" t="s">
        <v>3002</v>
      </c>
      <c r="F26" s="138" t="s">
        <v>2824</v>
      </c>
    </row>
    <row r="27" spans="1:6" s="139" customFormat="1" ht="29">
      <c r="A27" s="148" t="s">
        <v>2825</v>
      </c>
      <c r="B27" s="59" t="s">
        <v>2745</v>
      </c>
      <c r="C27" s="149" t="s">
        <v>3169</v>
      </c>
      <c r="D27" s="60" t="s">
        <v>2826</v>
      </c>
      <c r="E27" s="150" t="s">
        <v>3170</v>
      </c>
      <c r="F27" s="138" t="s">
        <v>2827</v>
      </c>
    </row>
    <row r="28" spans="1:6" s="147" customFormat="1" ht="22.5" customHeight="1">
      <c r="A28" s="148" t="s">
        <v>1172</v>
      </c>
      <c r="B28" s="151" t="s">
        <v>2745</v>
      </c>
      <c r="C28" s="151" t="s">
        <v>2967</v>
      </c>
      <c r="D28" s="152"/>
      <c r="E28" s="148" t="s">
        <v>3005</v>
      </c>
      <c r="F28" s="117"/>
    </row>
    <row r="29" spans="1:6" s="139" customFormat="1" ht="29">
      <c r="A29" s="135" t="s">
        <v>2828</v>
      </c>
      <c r="B29" s="134" t="s">
        <v>2785</v>
      </c>
      <c r="C29" s="135" t="s">
        <v>2829</v>
      </c>
      <c r="D29" s="135" t="s">
        <v>3171</v>
      </c>
      <c r="E29" s="150" t="s">
        <v>2944</v>
      </c>
      <c r="F29" s="138" t="s">
        <v>2830</v>
      </c>
    </row>
    <row r="30" spans="1:6" s="147" customFormat="1" ht="43.5">
      <c r="A30" s="144" t="s">
        <v>2831</v>
      </c>
      <c r="B30" s="145" t="s">
        <v>2785</v>
      </c>
      <c r="C30" s="144" t="s">
        <v>2832</v>
      </c>
      <c r="D30" s="144" t="s">
        <v>3172</v>
      </c>
      <c r="E30" s="140" t="s">
        <v>2968</v>
      </c>
      <c r="F30" s="146" t="s">
        <v>2833</v>
      </c>
    </row>
    <row r="31" spans="1:6" s="139" customFormat="1" ht="29">
      <c r="A31" s="144" t="s">
        <v>2834</v>
      </c>
      <c r="B31" s="134" t="s">
        <v>2785</v>
      </c>
      <c r="C31" s="135" t="s">
        <v>2835</v>
      </c>
      <c r="D31" s="135" t="s">
        <v>2836</v>
      </c>
      <c r="E31" s="140"/>
      <c r="F31" s="138" t="s">
        <v>2837</v>
      </c>
    </row>
    <row r="32" spans="1:6" s="139" customFormat="1" ht="43.5">
      <c r="A32" s="135" t="s">
        <v>2838</v>
      </c>
      <c r="B32" s="134" t="s">
        <v>2785</v>
      </c>
      <c r="C32" s="135" t="s">
        <v>2839</v>
      </c>
      <c r="D32" s="135" t="s">
        <v>2840</v>
      </c>
      <c r="E32" s="150" t="s">
        <v>3006</v>
      </c>
      <c r="F32" s="138" t="s">
        <v>2841</v>
      </c>
    </row>
    <row r="33" spans="1:6" s="139" customFormat="1" ht="43.5">
      <c r="A33" s="135" t="s">
        <v>2842</v>
      </c>
      <c r="B33" s="134" t="s">
        <v>2785</v>
      </c>
      <c r="C33" s="135" t="s">
        <v>2843</v>
      </c>
      <c r="D33" s="135" t="s">
        <v>2844</v>
      </c>
      <c r="E33" s="150" t="s">
        <v>3007</v>
      </c>
      <c r="F33" s="138" t="s">
        <v>2845</v>
      </c>
    </row>
    <row r="34" spans="1:6" s="139" customFormat="1" ht="43.5">
      <c r="A34" s="135" t="s">
        <v>2846</v>
      </c>
      <c r="B34" s="134" t="s">
        <v>2785</v>
      </c>
      <c r="C34" s="135" t="s">
        <v>2847</v>
      </c>
      <c r="D34" s="135" t="s">
        <v>2848</v>
      </c>
      <c r="E34" s="150"/>
      <c r="F34" s="138" t="s">
        <v>2849</v>
      </c>
    </row>
    <row r="35" spans="1:6" s="139" customFormat="1" ht="43.5">
      <c r="A35" s="135" t="s">
        <v>2850</v>
      </c>
      <c r="B35" s="134" t="s">
        <v>2785</v>
      </c>
      <c r="C35" s="135" t="s">
        <v>2851</v>
      </c>
      <c r="D35" s="134" t="s">
        <v>2852</v>
      </c>
      <c r="E35" s="150"/>
      <c r="F35" s="132" t="s">
        <v>3276</v>
      </c>
    </row>
    <row r="36" spans="1:6" s="139" customFormat="1" ht="67" customHeight="1">
      <c r="A36" s="134" t="s">
        <v>2856</v>
      </c>
      <c r="B36" s="135" t="s">
        <v>2857</v>
      </c>
      <c r="C36" s="135" t="s">
        <v>2858</v>
      </c>
      <c r="D36" s="135" t="s">
        <v>2859</v>
      </c>
      <c r="E36" s="137" t="s">
        <v>2860</v>
      </c>
      <c r="F36" s="138" t="s">
        <v>2861</v>
      </c>
    </row>
    <row r="37" spans="1:6" s="139" customFormat="1" ht="29">
      <c r="A37" s="135" t="s">
        <v>2862</v>
      </c>
      <c r="B37" s="135" t="s">
        <v>2745</v>
      </c>
      <c r="C37" s="135" t="s">
        <v>2863</v>
      </c>
      <c r="D37" s="132" t="s">
        <v>3283</v>
      </c>
      <c r="E37" s="132" t="s">
        <v>3282</v>
      </c>
      <c r="F37" s="138" t="s">
        <v>2864</v>
      </c>
    </row>
    <row r="38" spans="1:6" s="139" customFormat="1" ht="58">
      <c r="A38" s="135" t="s">
        <v>2865</v>
      </c>
      <c r="B38" s="135" t="s">
        <v>2745</v>
      </c>
      <c r="C38" s="135" t="s">
        <v>2866</v>
      </c>
      <c r="D38" s="135" t="s">
        <v>2753</v>
      </c>
      <c r="E38" s="137" t="s">
        <v>2867</v>
      </c>
      <c r="F38" s="138" t="s">
        <v>2868</v>
      </c>
    </row>
    <row r="39" spans="1:6" s="139" customFormat="1" ht="29">
      <c r="A39" s="135" t="s">
        <v>2869</v>
      </c>
      <c r="B39" s="135" t="s">
        <v>2745</v>
      </c>
      <c r="C39" s="135" t="s">
        <v>2870</v>
      </c>
      <c r="D39" s="135" t="s">
        <v>2871</v>
      </c>
      <c r="E39" s="137" t="s">
        <v>2872</v>
      </c>
      <c r="F39" s="138" t="s">
        <v>2873</v>
      </c>
    </row>
    <row r="40" spans="1:6" s="139" customFormat="1" ht="58">
      <c r="A40" s="135" t="s">
        <v>2874</v>
      </c>
      <c r="B40" s="135" t="s">
        <v>2745</v>
      </c>
      <c r="C40" s="135" t="s">
        <v>2875</v>
      </c>
      <c r="D40" s="135" t="s">
        <v>2876</v>
      </c>
      <c r="E40" s="137" t="s">
        <v>2877</v>
      </c>
      <c r="F40" s="138" t="s">
        <v>2878</v>
      </c>
    </row>
    <row r="41" spans="1:6" s="139" customFormat="1" ht="58">
      <c r="A41" s="135" t="s">
        <v>2879</v>
      </c>
      <c r="B41" s="135" t="s">
        <v>2745</v>
      </c>
      <c r="C41" s="135" t="s">
        <v>2880</v>
      </c>
      <c r="D41" s="135" t="s">
        <v>2881</v>
      </c>
      <c r="E41" s="137" t="s">
        <v>2882</v>
      </c>
      <c r="F41" s="138" t="s">
        <v>2883</v>
      </c>
    </row>
    <row r="42" spans="1:6" s="139" customFormat="1" ht="58">
      <c r="A42" s="135" t="s">
        <v>2884</v>
      </c>
      <c r="B42" s="135" t="s">
        <v>2745</v>
      </c>
      <c r="C42" s="141" t="s">
        <v>2885</v>
      </c>
      <c r="D42" s="135" t="s">
        <v>2886</v>
      </c>
      <c r="E42" s="137" t="s">
        <v>2887</v>
      </c>
      <c r="F42" s="138" t="s">
        <v>2888</v>
      </c>
    </row>
    <row r="43" spans="1:6" s="139" customFormat="1" ht="72.5">
      <c r="A43" s="135" t="s">
        <v>2889</v>
      </c>
      <c r="B43" s="135" t="s">
        <v>2745</v>
      </c>
      <c r="C43" s="135" t="s">
        <v>2890</v>
      </c>
      <c r="D43" s="144" t="s">
        <v>2969</v>
      </c>
      <c r="E43" s="137" t="s">
        <v>2891</v>
      </c>
      <c r="F43" s="138" t="s">
        <v>2892</v>
      </c>
    </row>
    <row r="44" spans="1:6" s="139" customFormat="1" ht="43.5">
      <c r="A44" s="135" t="s">
        <v>2893</v>
      </c>
      <c r="B44" s="135" t="s">
        <v>2745</v>
      </c>
      <c r="C44" s="135" t="s">
        <v>2894</v>
      </c>
      <c r="D44" s="135" t="s">
        <v>2895</v>
      </c>
      <c r="E44" s="137" t="s">
        <v>2896</v>
      </c>
      <c r="F44" s="138" t="s">
        <v>2897</v>
      </c>
    </row>
    <row r="45" spans="1:6" s="139" customFormat="1" ht="29">
      <c r="A45" s="135" t="s">
        <v>2898</v>
      </c>
      <c r="B45" s="135" t="s">
        <v>2745</v>
      </c>
      <c r="C45" s="135" t="s">
        <v>2899</v>
      </c>
      <c r="D45" s="135" t="s">
        <v>2900</v>
      </c>
      <c r="E45" s="137" t="s">
        <v>2901</v>
      </c>
      <c r="F45" s="138" t="s">
        <v>2902</v>
      </c>
    </row>
    <row r="46" spans="1:6" s="139" customFormat="1" ht="58">
      <c r="A46" s="135" t="s">
        <v>2903</v>
      </c>
      <c r="B46" s="135" t="s">
        <v>2745</v>
      </c>
      <c r="C46" s="135" t="s">
        <v>2904</v>
      </c>
      <c r="D46" s="135" t="s">
        <v>2774</v>
      </c>
      <c r="E46" s="137" t="s">
        <v>2905</v>
      </c>
      <c r="F46" s="138" t="s">
        <v>2906</v>
      </c>
    </row>
    <row r="47" spans="1:6" s="139" customFormat="1" ht="43.5">
      <c r="A47" s="135" t="s">
        <v>2907</v>
      </c>
      <c r="B47" s="135" t="s">
        <v>2745</v>
      </c>
      <c r="C47" s="135" t="s">
        <v>2908</v>
      </c>
      <c r="D47" s="135" t="s">
        <v>2909</v>
      </c>
      <c r="E47" s="137" t="s">
        <v>2910</v>
      </c>
      <c r="F47" s="138" t="s">
        <v>2911</v>
      </c>
    </row>
    <row r="48" spans="1:6" s="147" customFormat="1" ht="29">
      <c r="A48" s="144" t="s">
        <v>2912</v>
      </c>
      <c r="B48" s="144" t="s">
        <v>2745</v>
      </c>
      <c r="C48" s="144" t="s">
        <v>2913</v>
      </c>
      <c r="D48" s="144"/>
      <c r="E48" s="140"/>
      <c r="F48" s="146"/>
    </row>
    <row r="49" spans="1:6" s="147" customFormat="1" ht="29">
      <c r="A49" s="144" t="s">
        <v>2937</v>
      </c>
      <c r="B49" s="145" t="s">
        <v>2785</v>
      </c>
      <c r="C49" s="144" t="s">
        <v>2938</v>
      </c>
      <c r="D49" s="145" t="s">
        <v>2939</v>
      </c>
      <c r="E49" s="140" t="s">
        <v>2970</v>
      </c>
      <c r="F49" s="146" t="s">
        <v>2940</v>
      </c>
    </row>
    <row r="50" spans="1:6" s="147" customFormat="1" ht="29">
      <c r="A50" s="144" t="s">
        <v>2941</v>
      </c>
      <c r="B50" s="145" t="s">
        <v>2785</v>
      </c>
      <c r="C50" s="144" t="s">
        <v>2942</v>
      </c>
      <c r="D50" s="145" t="s">
        <v>2943</v>
      </c>
      <c r="E50" s="140" t="s">
        <v>1198</v>
      </c>
      <c r="F50" s="146" t="s">
        <v>2940</v>
      </c>
    </row>
    <row r="51" spans="1:6" s="147" customFormat="1" ht="29">
      <c r="A51" s="144" t="s">
        <v>2914</v>
      </c>
      <c r="B51" s="145" t="s">
        <v>2785</v>
      </c>
      <c r="C51" s="144" t="s">
        <v>2915</v>
      </c>
      <c r="D51" s="145" t="s">
        <v>2916</v>
      </c>
      <c r="E51" s="140" t="s">
        <v>2971</v>
      </c>
      <c r="F51" s="146" t="s">
        <v>2917</v>
      </c>
    </row>
    <row r="52" spans="1:6" s="147" customFormat="1" ht="63" customHeight="1">
      <c r="A52" s="144" t="s">
        <v>2918</v>
      </c>
      <c r="B52" s="145" t="s">
        <v>2785</v>
      </c>
      <c r="C52" s="144" t="s">
        <v>2919</v>
      </c>
      <c r="D52" s="145" t="s">
        <v>2920</v>
      </c>
      <c r="E52" s="140" t="s">
        <v>2972</v>
      </c>
      <c r="F52" s="146" t="s">
        <v>2921</v>
      </c>
    </row>
    <row r="53" spans="1:6" s="147" customFormat="1">
      <c r="A53" s="144" t="s">
        <v>2922</v>
      </c>
      <c r="B53" s="145" t="s">
        <v>2785</v>
      </c>
      <c r="C53" s="144" t="s">
        <v>2923</v>
      </c>
      <c r="D53" s="145" t="s">
        <v>2924</v>
      </c>
      <c r="E53" s="140" t="s">
        <v>2973</v>
      </c>
      <c r="F53" s="146" t="s">
        <v>2925</v>
      </c>
    </row>
    <row r="54" spans="1:6" s="147" customFormat="1" ht="29">
      <c r="A54" s="144" t="s">
        <v>2929</v>
      </c>
      <c r="B54" s="145" t="s">
        <v>2785</v>
      </c>
      <c r="C54" s="144" t="s">
        <v>2930</v>
      </c>
      <c r="D54" s="145" t="s">
        <v>2931</v>
      </c>
      <c r="E54" s="140" t="s">
        <v>2974</v>
      </c>
      <c r="F54" s="146" t="s">
        <v>2932</v>
      </c>
    </row>
    <row r="55" spans="1:6" s="147" customFormat="1">
      <c r="A55" s="153" t="s">
        <v>2926</v>
      </c>
      <c r="B55" s="154" t="s">
        <v>2785</v>
      </c>
      <c r="C55" s="153" t="s">
        <v>2927</v>
      </c>
      <c r="D55" s="154" t="s">
        <v>2928</v>
      </c>
      <c r="E55" s="155"/>
      <c r="F55" s="156" t="s">
        <v>2921</v>
      </c>
    </row>
    <row r="56" spans="1:6" s="147" customFormat="1" ht="43.5">
      <c r="A56" s="144" t="s">
        <v>2933</v>
      </c>
      <c r="B56" s="145" t="s">
        <v>2785</v>
      </c>
      <c r="C56" s="144" t="s">
        <v>2934</v>
      </c>
      <c r="D56" s="145" t="s">
        <v>2935</v>
      </c>
      <c r="E56" s="144"/>
      <c r="F56" s="144" t="s">
        <v>2936</v>
      </c>
    </row>
    <row r="58" spans="1:6" ht="13" customHeight="1">
      <c r="A58" s="167" t="s">
        <v>3199</v>
      </c>
      <c r="B58" s="167"/>
      <c r="C58" s="167"/>
      <c r="D58" s="167"/>
      <c r="E58" s="167"/>
      <c r="F58" s="108"/>
    </row>
  </sheetData>
  <mergeCells count="2">
    <mergeCell ref="A58:E58"/>
    <mergeCell ref="A1:F1"/>
  </mergeCells>
  <pageMargins left="0.7" right="0.7" top="0.75" bottom="0.75" header="0.3" footer="0.3"/>
  <pageSetup scale="64" fitToHeight="0" orientation="landscape" r:id="rId1"/>
  <headerFooter>
    <oddFooter>&amp;LBusiness Architecture Guild Copyright 2019 &amp;RFinancial Services Reference Model v2.0</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25"/>
  <sheetViews>
    <sheetView zoomScale="90" zoomScaleNormal="90" zoomScalePageLayoutView="110" workbookViewId="0">
      <selection sqref="A1:D1"/>
    </sheetView>
  </sheetViews>
  <sheetFormatPr defaultColWidth="9.1796875" defaultRowHeight="14.5"/>
  <cols>
    <col min="1" max="1" width="10.54296875" style="53" customWidth="1"/>
    <col min="2" max="2" width="25.26953125" style="22" customWidth="1"/>
    <col min="3" max="3" width="14.1796875" style="22" customWidth="1"/>
    <col min="4" max="4" width="79.81640625" style="12" customWidth="1"/>
    <col min="5" max="5" width="9.1796875" style="12" customWidth="1"/>
    <col min="6" max="16384" width="9.1796875" style="12"/>
  </cols>
  <sheetData>
    <row r="1" spans="1:4" ht="23.25" customHeight="1">
      <c r="A1" s="171" t="s">
        <v>1118</v>
      </c>
      <c r="B1" s="171"/>
      <c r="C1" s="171"/>
      <c r="D1" s="171"/>
    </row>
    <row r="2" spans="1:4" ht="29">
      <c r="A2" s="49" t="s">
        <v>3063</v>
      </c>
      <c r="B2" s="48" t="s">
        <v>3064</v>
      </c>
      <c r="C2" s="102" t="s">
        <v>3065</v>
      </c>
      <c r="D2" s="13" t="s">
        <v>1</v>
      </c>
    </row>
    <row r="3" spans="1:4">
      <c r="A3" s="103">
        <v>0</v>
      </c>
      <c r="B3" s="104" t="s">
        <v>1119</v>
      </c>
      <c r="C3" s="11" t="s">
        <v>3066</v>
      </c>
      <c r="D3" s="11" t="s">
        <v>3067</v>
      </c>
    </row>
    <row r="4" spans="1:4" ht="29">
      <c r="A4" s="103">
        <v>1</v>
      </c>
      <c r="B4" s="104" t="s">
        <v>1120</v>
      </c>
      <c r="C4" s="11" t="s">
        <v>3068</v>
      </c>
      <c r="D4" s="11" t="s">
        <v>1121</v>
      </c>
    </row>
    <row r="5" spans="1:4">
      <c r="A5" s="103">
        <v>2</v>
      </c>
      <c r="B5" s="11" t="s">
        <v>1122</v>
      </c>
      <c r="C5" s="11" t="s">
        <v>3068</v>
      </c>
      <c r="D5" s="11" t="s">
        <v>1123</v>
      </c>
    </row>
    <row r="6" spans="1:4" ht="29">
      <c r="A6" s="103">
        <v>3</v>
      </c>
      <c r="B6" s="11" t="s">
        <v>1124</v>
      </c>
      <c r="C6" s="11" t="s">
        <v>3068</v>
      </c>
      <c r="D6" s="105" t="s">
        <v>1125</v>
      </c>
    </row>
    <row r="7" spans="1:4">
      <c r="A7" s="103">
        <v>3</v>
      </c>
      <c r="B7" s="11" t="s">
        <v>1126</v>
      </c>
      <c r="C7" s="11" t="s">
        <v>3068</v>
      </c>
      <c r="D7" s="11" t="s">
        <v>1127</v>
      </c>
    </row>
    <row r="8" spans="1:4">
      <c r="A8" s="103">
        <v>3</v>
      </c>
      <c r="B8" s="11" t="s">
        <v>1128</v>
      </c>
      <c r="C8" s="11" t="s">
        <v>3068</v>
      </c>
      <c r="D8" s="11" t="s">
        <v>2135</v>
      </c>
    </row>
    <row r="9" spans="1:4" ht="29">
      <c r="A9" s="103">
        <v>3</v>
      </c>
      <c r="B9" s="11" t="s">
        <v>1003</v>
      </c>
      <c r="C9" s="11" t="s">
        <v>3068</v>
      </c>
      <c r="D9" s="11" t="s">
        <v>1129</v>
      </c>
    </row>
    <row r="10" spans="1:4" ht="29">
      <c r="A10" s="103">
        <v>3</v>
      </c>
      <c r="B10" s="11" t="s">
        <v>1130</v>
      </c>
      <c r="C10" s="11" t="s">
        <v>3068</v>
      </c>
      <c r="D10" s="11" t="s">
        <v>1131</v>
      </c>
    </row>
    <row r="11" spans="1:4" ht="29">
      <c r="A11" s="103">
        <v>2</v>
      </c>
      <c r="B11" s="11" t="s">
        <v>1132</v>
      </c>
      <c r="C11" s="11" t="s">
        <v>3068</v>
      </c>
      <c r="D11" s="11" t="s">
        <v>1133</v>
      </c>
    </row>
    <row r="12" spans="1:4" ht="29">
      <c r="A12" s="103">
        <v>3</v>
      </c>
      <c r="B12" s="11" t="s">
        <v>1124</v>
      </c>
      <c r="C12" s="11" t="s">
        <v>3068</v>
      </c>
      <c r="D12" s="105" t="s">
        <v>1125</v>
      </c>
    </row>
    <row r="13" spans="1:4">
      <c r="A13" s="103">
        <v>3</v>
      </c>
      <c r="B13" s="11" t="s">
        <v>1126</v>
      </c>
      <c r="C13" s="11" t="s">
        <v>3068</v>
      </c>
      <c r="D13" s="11" t="s">
        <v>1127</v>
      </c>
    </row>
    <row r="14" spans="1:4">
      <c r="A14" s="103">
        <v>3</v>
      </c>
      <c r="B14" s="11" t="s">
        <v>1128</v>
      </c>
      <c r="C14" s="11" t="s">
        <v>3068</v>
      </c>
      <c r="D14" s="11" t="s">
        <v>2135</v>
      </c>
    </row>
    <row r="15" spans="1:4" ht="29">
      <c r="A15" s="103">
        <v>3</v>
      </c>
      <c r="B15" s="11" t="s">
        <v>1003</v>
      </c>
      <c r="C15" s="11" t="s">
        <v>3068</v>
      </c>
      <c r="D15" s="11" t="s">
        <v>1129</v>
      </c>
    </row>
    <row r="16" spans="1:4" ht="29">
      <c r="A16" s="103">
        <v>3</v>
      </c>
      <c r="B16" s="11" t="s">
        <v>1130</v>
      </c>
      <c r="C16" s="11" t="s">
        <v>3068</v>
      </c>
      <c r="D16" s="11" t="s">
        <v>1131</v>
      </c>
    </row>
    <row r="17" spans="1:4" s="9" customFormat="1">
      <c r="A17" s="103">
        <v>2</v>
      </c>
      <c r="B17" s="11" t="s">
        <v>1134</v>
      </c>
      <c r="C17" s="11" t="s">
        <v>3068</v>
      </c>
      <c r="D17" s="11" t="s">
        <v>3173</v>
      </c>
    </row>
    <row r="18" spans="1:4" s="9" customFormat="1" ht="29">
      <c r="A18" s="103">
        <v>3</v>
      </c>
      <c r="B18" s="11" t="s">
        <v>1135</v>
      </c>
      <c r="C18" s="11" t="s">
        <v>3068</v>
      </c>
      <c r="D18" s="11" t="s">
        <v>1136</v>
      </c>
    </row>
    <row r="19" spans="1:4" s="9" customFormat="1" ht="29">
      <c r="A19" s="103">
        <v>3</v>
      </c>
      <c r="B19" s="11" t="s">
        <v>1137</v>
      </c>
      <c r="C19" s="11" t="s">
        <v>3068</v>
      </c>
      <c r="D19" s="11" t="s">
        <v>1138</v>
      </c>
    </row>
    <row r="20" spans="1:4" s="9" customFormat="1" ht="29">
      <c r="A20" s="103">
        <v>3</v>
      </c>
      <c r="B20" s="11" t="s">
        <v>1139</v>
      </c>
      <c r="C20" s="11" t="s">
        <v>3068</v>
      </c>
      <c r="D20" s="11" t="s">
        <v>1140</v>
      </c>
    </row>
    <row r="21" spans="1:4" s="9" customFormat="1">
      <c r="A21" s="103">
        <v>3</v>
      </c>
      <c r="B21" s="11" t="s">
        <v>1141</v>
      </c>
      <c r="C21" s="11" t="s">
        <v>3068</v>
      </c>
      <c r="D21" s="11" t="s">
        <v>1142</v>
      </c>
    </row>
    <row r="22" spans="1:4" ht="29">
      <c r="A22" s="103">
        <v>2</v>
      </c>
      <c r="B22" s="11" t="s">
        <v>1143</v>
      </c>
      <c r="C22" s="11" t="s">
        <v>3068</v>
      </c>
      <c r="D22" s="11" t="s">
        <v>1144</v>
      </c>
    </row>
    <row r="23" spans="1:4" ht="29">
      <c r="A23" s="103">
        <v>1</v>
      </c>
      <c r="B23" s="104" t="s">
        <v>546</v>
      </c>
      <c r="C23" s="11" t="s">
        <v>3068</v>
      </c>
      <c r="D23" s="11" t="s">
        <v>1145</v>
      </c>
    </row>
    <row r="24" spans="1:4" ht="29">
      <c r="A24" s="103">
        <v>2</v>
      </c>
      <c r="B24" s="11" t="s">
        <v>1146</v>
      </c>
      <c r="C24" s="11" t="s">
        <v>3068</v>
      </c>
      <c r="D24" s="11" t="s">
        <v>1147</v>
      </c>
    </row>
    <row r="25" spans="1:4" ht="29">
      <c r="A25" s="103">
        <v>2</v>
      </c>
      <c r="B25" s="11" t="s">
        <v>1148</v>
      </c>
      <c r="C25" s="11" t="s">
        <v>3068</v>
      </c>
      <c r="D25" s="11" t="s">
        <v>1149</v>
      </c>
    </row>
    <row r="26" spans="1:4" ht="29">
      <c r="A26" s="103">
        <v>3</v>
      </c>
      <c r="B26" s="11" t="s">
        <v>1124</v>
      </c>
      <c r="C26" s="11" t="s">
        <v>3068</v>
      </c>
      <c r="D26" s="105" t="s">
        <v>1125</v>
      </c>
    </row>
    <row r="27" spans="1:4">
      <c r="A27" s="103">
        <v>3</v>
      </c>
      <c r="B27" s="11" t="s">
        <v>1126</v>
      </c>
      <c r="C27" s="11" t="s">
        <v>3068</v>
      </c>
      <c r="D27" s="11" t="s">
        <v>1127</v>
      </c>
    </row>
    <row r="28" spans="1:4">
      <c r="A28" s="103">
        <v>3</v>
      </c>
      <c r="B28" s="11" t="s">
        <v>1128</v>
      </c>
      <c r="C28" s="11" t="s">
        <v>3068</v>
      </c>
      <c r="D28" s="11" t="s">
        <v>2135</v>
      </c>
    </row>
    <row r="29" spans="1:4" ht="29">
      <c r="A29" s="103">
        <v>3</v>
      </c>
      <c r="B29" s="11" t="s">
        <v>1003</v>
      </c>
      <c r="C29" s="11" t="s">
        <v>3068</v>
      </c>
      <c r="D29" s="11" t="s">
        <v>1129</v>
      </c>
    </row>
    <row r="30" spans="1:4" ht="29">
      <c r="A30" s="103">
        <v>3</v>
      </c>
      <c r="B30" s="11" t="s">
        <v>1130</v>
      </c>
      <c r="C30" s="11" t="s">
        <v>3068</v>
      </c>
      <c r="D30" s="11" t="s">
        <v>1150</v>
      </c>
    </row>
    <row r="31" spans="1:4" ht="29">
      <c r="A31" s="103">
        <v>1</v>
      </c>
      <c r="B31" s="104" t="s">
        <v>1151</v>
      </c>
      <c r="C31" s="11" t="s">
        <v>3068</v>
      </c>
      <c r="D31" s="11" t="s">
        <v>1145</v>
      </c>
    </row>
    <row r="32" spans="1:4" ht="29">
      <c r="A32" s="103">
        <v>2</v>
      </c>
      <c r="B32" s="11" t="s">
        <v>1152</v>
      </c>
      <c r="C32" s="11" t="s">
        <v>3068</v>
      </c>
      <c r="D32" s="11" t="s">
        <v>2136</v>
      </c>
    </row>
    <row r="33" spans="1:4">
      <c r="A33" s="103">
        <v>2</v>
      </c>
      <c r="B33" s="11" t="s">
        <v>1153</v>
      </c>
      <c r="C33" s="11" t="s">
        <v>3068</v>
      </c>
      <c r="D33" s="11" t="s">
        <v>1154</v>
      </c>
    </row>
    <row r="34" spans="1:4" ht="43.5">
      <c r="A34" s="103">
        <v>2</v>
      </c>
      <c r="B34" s="11" t="s">
        <v>1155</v>
      </c>
      <c r="C34" s="11" t="s">
        <v>3068</v>
      </c>
      <c r="D34" s="11" t="s">
        <v>1156</v>
      </c>
    </row>
    <row r="35" spans="1:4" ht="43.5">
      <c r="A35" s="103">
        <v>2</v>
      </c>
      <c r="B35" s="11" t="s">
        <v>1157</v>
      </c>
      <c r="C35" s="11" t="s">
        <v>3068</v>
      </c>
      <c r="D35" s="11" t="s">
        <v>3013</v>
      </c>
    </row>
    <row r="36" spans="1:4">
      <c r="A36" s="103">
        <v>1</v>
      </c>
      <c r="B36" s="104" t="s">
        <v>1158</v>
      </c>
      <c r="C36" s="11" t="s">
        <v>3068</v>
      </c>
      <c r="D36" s="11" t="s">
        <v>1159</v>
      </c>
    </row>
    <row r="37" spans="1:4">
      <c r="A37" s="103">
        <v>2</v>
      </c>
      <c r="B37" s="11" t="s">
        <v>1160</v>
      </c>
      <c r="C37" s="11" t="s">
        <v>3068</v>
      </c>
      <c r="D37" s="11" t="s">
        <v>1161</v>
      </c>
    </row>
    <row r="38" spans="1:4" ht="43.5">
      <c r="A38" s="103">
        <v>2</v>
      </c>
      <c r="B38" s="11" t="s">
        <v>1162</v>
      </c>
      <c r="C38" s="11" t="s">
        <v>3068</v>
      </c>
      <c r="D38" s="11" t="s">
        <v>1163</v>
      </c>
    </row>
    <row r="39" spans="1:4" ht="29">
      <c r="A39" s="103">
        <v>2</v>
      </c>
      <c r="B39" s="11" t="s">
        <v>1164</v>
      </c>
      <c r="C39" s="11" t="s">
        <v>3068</v>
      </c>
      <c r="D39" s="11" t="s">
        <v>1165</v>
      </c>
    </row>
    <row r="40" spans="1:4">
      <c r="A40" s="103">
        <v>1</v>
      </c>
      <c r="B40" s="104" t="s">
        <v>1166</v>
      </c>
      <c r="C40" s="11" t="s">
        <v>3068</v>
      </c>
      <c r="D40" s="11" t="s">
        <v>1167</v>
      </c>
    </row>
    <row r="41" spans="1:4" ht="29">
      <c r="A41" s="103">
        <v>2</v>
      </c>
      <c r="B41" s="11" t="s">
        <v>1168</v>
      </c>
      <c r="C41" s="11" t="s">
        <v>3068</v>
      </c>
      <c r="D41" s="11" t="s">
        <v>1169</v>
      </c>
    </row>
    <row r="42" spans="1:4">
      <c r="A42" s="103">
        <v>2</v>
      </c>
      <c r="B42" s="11" t="s">
        <v>1170</v>
      </c>
      <c r="C42" s="11" t="s">
        <v>3068</v>
      </c>
      <c r="D42" s="11" t="s">
        <v>1171</v>
      </c>
    </row>
    <row r="43" spans="1:4">
      <c r="A43" s="103">
        <v>2</v>
      </c>
      <c r="B43" s="11" t="s">
        <v>1172</v>
      </c>
      <c r="C43" s="11" t="s">
        <v>3068</v>
      </c>
      <c r="D43" s="11" t="s">
        <v>1173</v>
      </c>
    </row>
    <row r="44" spans="1:4" s="14" customFormat="1" ht="29">
      <c r="A44" s="103">
        <v>2</v>
      </c>
      <c r="B44" s="11" t="s">
        <v>1174</v>
      </c>
      <c r="C44" s="11" t="s">
        <v>3068</v>
      </c>
      <c r="D44" s="11" t="s">
        <v>1175</v>
      </c>
    </row>
    <row r="45" spans="1:4" ht="29">
      <c r="A45" s="103">
        <v>2</v>
      </c>
      <c r="B45" s="11" t="s">
        <v>1176</v>
      </c>
      <c r="C45" s="11" t="s">
        <v>3068</v>
      </c>
      <c r="D45" s="11" t="s">
        <v>1177</v>
      </c>
    </row>
    <row r="46" spans="1:4" ht="29">
      <c r="A46" s="103">
        <v>2</v>
      </c>
      <c r="B46" s="11" t="s">
        <v>1178</v>
      </c>
      <c r="C46" s="11" t="s">
        <v>3068</v>
      </c>
      <c r="D46" s="11" t="s">
        <v>1179</v>
      </c>
    </row>
    <row r="47" spans="1:4" ht="29">
      <c r="A47" s="103">
        <v>2</v>
      </c>
      <c r="B47" s="11" t="s">
        <v>1180</v>
      </c>
      <c r="C47" s="11" t="s">
        <v>3068</v>
      </c>
      <c r="D47" s="11" t="s">
        <v>1181</v>
      </c>
    </row>
    <row r="48" spans="1:4" ht="29">
      <c r="A48" s="103">
        <v>2</v>
      </c>
      <c r="B48" s="11" t="s">
        <v>1182</v>
      </c>
      <c r="C48" s="11" t="s">
        <v>3068</v>
      </c>
      <c r="D48" s="11" t="s">
        <v>1183</v>
      </c>
    </row>
    <row r="49" spans="1:4" ht="58">
      <c r="A49" s="103">
        <v>2</v>
      </c>
      <c r="B49" s="11" t="s">
        <v>1184</v>
      </c>
      <c r="C49" s="11" t="s">
        <v>3068</v>
      </c>
      <c r="D49" s="11" t="s">
        <v>2137</v>
      </c>
    </row>
    <row r="50" spans="1:4" ht="29">
      <c r="A50" s="103">
        <v>2</v>
      </c>
      <c r="B50" s="11" t="s">
        <v>1185</v>
      </c>
      <c r="C50" s="11" t="s">
        <v>3068</v>
      </c>
      <c r="D50" s="11" t="s">
        <v>2138</v>
      </c>
    </row>
    <row r="51" spans="1:4">
      <c r="A51" s="103">
        <v>2</v>
      </c>
      <c r="B51" s="11" t="s">
        <v>1186</v>
      </c>
      <c r="C51" s="11" t="s">
        <v>3068</v>
      </c>
      <c r="D51" s="11" t="s">
        <v>1187</v>
      </c>
    </row>
    <row r="52" spans="1:4" ht="29">
      <c r="A52" s="103">
        <v>2</v>
      </c>
      <c r="B52" s="11" t="s">
        <v>1188</v>
      </c>
      <c r="C52" s="11" t="s">
        <v>3068</v>
      </c>
      <c r="D52" s="11" t="s">
        <v>1189</v>
      </c>
    </row>
    <row r="53" spans="1:4" ht="29">
      <c r="A53" s="103">
        <v>1</v>
      </c>
      <c r="B53" s="104" t="s">
        <v>1190</v>
      </c>
      <c r="C53" s="11" t="s">
        <v>3068</v>
      </c>
      <c r="D53" s="11" t="s">
        <v>1191</v>
      </c>
    </row>
    <row r="54" spans="1:4" ht="29">
      <c r="A54" s="103">
        <v>2</v>
      </c>
      <c r="B54" s="11" t="s">
        <v>1192</v>
      </c>
      <c r="C54" s="11" t="s">
        <v>1100</v>
      </c>
      <c r="D54" s="11" t="s">
        <v>1193</v>
      </c>
    </row>
    <row r="55" spans="1:4" ht="29">
      <c r="A55" s="103">
        <v>2</v>
      </c>
      <c r="B55" s="11" t="s">
        <v>1194</v>
      </c>
      <c r="C55" s="11" t="s">
        <v>1100</v>
      </c>
      <c r="D55" s="11" t="s">
        <v>1195</v>
      </c>
    </row>
    <row r="56" spans="1:4" ht="29">
      <c r="A56" s="103">
        <v>2</v>
      </c>
      <c r="B56" s="11" t="s">
        <v>1196</v>
      </c>
      <c r="C56" s="11" t="s">
        <v>1100</v>
      </c>
      <c r="D56" s="11" t="s">
        <v>1197</v>
      </c>
    </row>
    <row r="57" spans="1:4">
      <c r="A57" s="50"/>
      <c r="B57" s="15"/>
      <c r="C57" s="16"/>
    </row>
    <row r="58" spans="1:4">
      <c r="A58" s="50"/>
      <c r="B58" s="15"/>
      <c r="C58" s="18"/>
    </row>
    <row r="59" spans="1:4">
      <c r="A59" s="50"/>
      <c r="B59" s="15"/>
      <c r="C59" s="16"/>
    </row>
    <row r="60" spans="1:4">
      <c r="A60" s="51"/>
      <c r="B60" s="15"/>
      <c r="C60" s="19"/>
    </row>
    <row r="61" spans="1:4">
      <c r="A61" s="50"/>
      <c r="B61" s="15"/>
      <c r="C61" s="10"/>
    </row>
    <row r="62" spans="1:4">
      <c r="A62" s="50"/>
      <c r="B62" s="15"/>
      <c r="C62" s="16"/>
    </row>
    <row r="63" spans="1:4">
      <c r="A63" s="50"/>
      <c r="B63" s="20"/>
      <c r="C63" s="19"/>
    </row>
    <row r="64" spans="1:4">
      <c r="A64" s="50"/>
      <c r="B64" s="15"/>
      <c r="C64" s="18"/>
    </row>
    <row r="65" spans="1:3">
      <c r="A65" s="50"/>
      <c r="B65" s="15"/>
      <c r="C65" s="18"/>
    </row>
    <row r="66" spans="1:3">
      <c r="A66" s="50"/>
      <c r="B66" s="15"/>
      <c r="C66" s="18"/>
    </row>
    <row r="67" spans="1:3">
      <c r="A67" s="52"/>
      <c r="B67" s="21"/>
      <c r="C67" s="16"/>
    </row>
    <row r="68" spans="1:3">
      <c r="B68" s="21"/>
      <c r="C68" s="23"/>
    </row>
    <row r="69" spans="1:3">
      <c r="A69" s="52"/>
      <c r="B69" s="21"/>
      <c r="C69" s="16"/>
    </row>
    <row r="70" spans="1:3">
      <c r="A70" s="52"/>
      <c r="B70" s="21"/>
      <c r="C70" s="16"/>
    </row>
    <row r="71" spans="1:3">
      <c r="A71" s="52"/>
      <c r="B71" s="21"/>
      <c r="C71" s="16"/>
    </row>
    <row r="72" spans="1:3">
      <c r="A72" s="52"/>
      <c r="B72" s="21"/>
      <c r="C72" s="16"/>
    </row>
    <row r="73" spans="1:3">
      <c r="A73" s="52"/>
      <c r="B73" s="21"/>
      <c r="C73" s="16"/>
    </row>
    <row r="74" spans="1:3">
      <c r="A74" s="52"/>
      <c r="B74" s="21"/>
      <c r="C74" s="16"/>
    </row>
    <row r="75" spans="1:3">
      <c r="A75" s="52"/>
      <c r="B75" s="21"/>
      <c r="C75" s="16"/>
    </row>
    <row r="76" spans="1:3">
      <c r="C76" s="23"/>
    </row>
    <row r="77" spans="1:3">
      <c r="C77" s="23"/>
    </row>
    <row r="78" spans="1:3">
      <c r="A78" s="52"/>
      <c r="B78" s="21"/>
      <c r="C78" s="18"/>
    </row>
    <row r="79" spans="1:3">
      <c r="A79" s="52"/>
      <c r="B79" s="21"/>
      <c r="C79" s="16"/>
    </row>
    <row r="80" spans="1:3">
      <c r="A80" s="52"/>
      <c r="B80" s="21"/>
      <c r="C80" s="16"/>
    </row>
    <row r="81" spans="1:3">
      <c r="A81" s="52"/>
      <c r="B81" s="21"/>
      <c r="C81" s="16"/>
    </row>
    <row r="82" spans="1:3">
      <c r="A82" s="52"/>
      <c r="B82" s="21"/>
      <c r="C82" s="16"/>
    </row>
    <row r="83" spans="1:3">
      <c r="A83" s="52"/>
      <c r="B83" s="16"/>
      <c r="C83" s="16"/>
    </row>
    <row r="84" spans="1:3">
      <c r="A84" s="52"/>
      <c r="B84" s="21"/>
      <c r="C84" s="23"/>
    </row>
    <row r="85" spans="1:3">
      <c r="A85" s="52"/>
      <c r="B85" s="21"/>
      <c r="C85" s="16"/>
    </row>
    <row r="86" spans="1:3">
      <c r="C86" s="23"/>
    </row>
    <row r="87" spans="1:3">
      <c r="A87" s="52"/>
      <c r="B87" s="21"/>
      <c r="C87" s="16"/>
    </row>
    <row r="88" spans="1:3">
      <c r="A88" s="52"/>
      <c r="B88" s="21"/>
      <c r="C88" s="16"/>
    </row>
    <row r="89" spans="1:3">
      <c r="A89" s="52"/>
      <c r="B89" s="21"/>
      <c r="C89" s="16"/>
    </row>
    <row r="90" spans="1:3">
      <c r="A90" s="52"/>
      <c r="B90" s="21"/>
      <c r="C90" s="16"/>
    </row>
    <row r="91" spans="1:3">
      <c r="A91" s="52"/>
      <c r="B91" s="21"/>
      <c r="C91" s="16"/>
    </row>
    <row r="92" spans="1:3">
      <c r="A92" s="52"/>
      <c r="B92" s="21"/>
      <c r="C92" s="16"/>
    </row>
    <row r="93" spans="1:3">
      <c r="A93" s="54"/>
      <c r="B93" s="24"/>
      <c r="C93" s="17"/>
    </row>
    <row r="94" spans="1:3">
      <c r="A94" s="52"/>
      <c r="B94" s="21"/>
      <c r="C94" s="16"/>
    </row>
    <row r="95" spans="1:3">
      <c r="A95" s="52"/>
      <c r="B95" s="16"/>
      <c r="C95" s="25"/>
    </row>
    <row r="96" spans="1:3">
      <c r="A96" s="52"/>
      <c r="B96" s="16"/>
      <c r="C96" s="25"/>
    </row>
    <row r="97" spans="1:3">
      <c r="A97" s="52"/>
      <c r="B97" s="21"/>
      <c r="C97" s="16"/>
    </row>
    <row r="98" spans="1:3">
      <c r="A98" s="52"/>
      <c r="B98" s="21"/>
      <c r="C98" s="16"/>
    </row>
    <row r="99" spans="1:3">
      <c r="A99" s="54"/>
      <c r="B99" s="24"/>
      <c r="C99" s="17"/>
    </row>
    <row r="100" spans="1:3">
      <c r="A100" s="52"/>
      <c r="B100" s="21"/>
      <c r="C100" s="16"/>
    </row>
    <row r="101" spans="1:3">
      <c r="A101" s="52"/>
      <c r="B101" s="21"/>
      <c r="C101" s="16"/>
    </row>
    <row r="102" spans="1:3">
      <c r="C102" s="23"/>
    </row>
    <row r="103" spans="1:3">
      <c r="A103" s="54"/>
      <c r="B103" s="24"/>
      <c r="C103" s="17"/>
    </row>
    <row r="104" spans="1:3">
      <c r="A104" s="54"/>
      <c r="B104" s="24"/>
      <c r="C104" s="23"/>
    </row>
    <row r="105" spans="1:3">
      <c r="A105" s="55"/>
      <c r="B105" s="17"/>
      <c r="C105" s="23"/>
    </row>
    <row r="106" spans="1:3">
      <c r="A106" s="55"/>
      <c r="B106" s="17"/>
      <c r="C106" s="23"/>
    </row>
    <row r="107" spans="1:3">
      <c r="A107" s="55"/>
      <c r="B107" s="17"/>
      <c r="C107" s="23"/>
    </row>
    <row r="108" spans="1:3">
      <c r="A108" s="55"/>
      <c r="B108" s="17"/>
      <c r="C108" s="23"/>
    </row>
    <row r="109" spans="1:3">
      <c r="A109" s="55"/>
      <c r="B109" s="17"/>
      <c r="C109" s="23"/>
    </row>
    <row r="110" spans="1:3">
      <c r="A110" s="55"/>
      <c r="B110" s="17"/>
      <c r="C110" s="17"/>
    </row>
    <row r="111" spans="1:3">
      <c r="A111" s="55"/>
      <c r="B111" s="17"/>
      <c r="C111" s="23"/>
    </row>
    <row r="112" spans="1:3">
      <c r="A112" s="55"/>
      <c r="B112" s="17"/>
      <c r="C112" s="23"/>
    </row>
    <row r="113" spans="1:3">
      <c r="A113" s="56"/>
      <c r="B113" s="16"/>
      <c r="C113" s="23"/>
    </row>
    <row r="114" spans="1:3">
      <c r="C114" s="16"/>
    </row>
    <row r="115" spans="1:3">
      <c r="A115" s="52"/>
      <c r="B115" s="21"/>
      <c r="C115" s="16"/>
    </row>
    <row r="116" spans="1:3">
      <c r="A116" s="56"/>
      <c r="B116" s="16"/>
      <c r="C116" s="16"/>
    </row>
    <row r="117" spans="1:3">
      <c r="A117" s="56"/>
      <c r="B117" s="16"/>
      <c r="C117" s="16"/>
    </row>
    <row r="118" spans="1:3">
      <c r="A118" s="56"/>
      <c r="B118" s="16"/>
      <c r="C118" s="16"/>
    </row>
    <row r="119" spans="1:3">
      <c r="A119" s="56"/>
      <c r="B119" s="16"/>
      <c r="C119" s="16"/>
    </row>
    <row r="120" spans="1:3">
      <c r="A120" s="56"/>
      <c r="B120" s="16"/>
      <c r="C120" s="16"/>
    </row>
    <row r="121" spans="1:3">
      <c r="A121" s="56"/>
      <c r="B121" s="16"/>
      <c r="C121" s="16"/>
    </row>
    <row r="122" spans="1:3">
      <c r="C122" s="23"/>
    </row>
    <row r="123" spans="1:3">
      <c r="A123" s="52"/>
      <c r="B123" s="21"/>
      <c r="C123" s="16"/>
    </row>
    <row r="124" spans="1:3">
      <c r="A124" s="52"/>
      <c r="B124" s="21"/>
      <c r="C124" s="16"/>
    </row>
    <row r="125" spans="1:3">
      <c r="C125" s="25"/>
    </row>
    <row r="126" spans="1:3">
      <c r="A126" s="52"/>
      <c r="B126" s="21"/>
      <c r="C126" s="16"/>
    </row>
    <row r="127" spans="1:3">
      <c r="A127" s="52"/>
      <c r="B127" s="21"/>
      <c r="C127" s="16"/>
    </row>
    <row r="128" spans="1:3">
      <c r="A128" s="52"/>
      <c r="B128" s="21"/>
      <c r="C128" s="16"/>
    </row>
    <row r="129" spans="1:3">
      <c r="A129" s="52"/>
      <c r="B129" s="21"/>
      <c r="C129" s="16"/>
    </row>
    <row r="130" spans="1:3">
      <c r="A130" s="52"/>
      <c r="B130" s="21"/>
      <c r="C130" s="16"/>
    </row>
    <row r="131" spans="1:3">
      <c r="A131" s="52"/>
      <c r="B131" s="21"/>
      <c r="C131" s="16"/>
    </row>
    <row r="132" spans="1:3">
      <c r="A132" s="52"/>
      <c r="B132" s="21"/>
      <c r="C132" s="16"/>
    </row>
    <row r="133" spans="1:3">
      <c r="A133" s="52"/>
      <c r="B133" s="21"/>
      <c r="C133" s="18"/>
    </row>
    <row r="134" spans="1:3">
      <c r="A134" s="52"/>
      <c r="B134" s="21"/>
      <c r="C134" s="18"/>
    </row>
    <row r="135" spans="1:3">
      <c r="A135" s="52"/>
      <c r="B135" s="21"/>
      <c r="C135" s="16"/>
    </row>
    <row r="136" spans="1:3">
      <c r="C136" s="23"/>
    </row>
    <row r="137" spans="1:3">
      <c r="C137" s="23"/>
    </row>
    <row r="138" spans="1:3">
      <c r="C138" s="23"/>
    </row>
    <row r="139" spans="1:3">
      <c r="C139" s="23"/>
    </row>
    <row r="140" spans="1:3">
      <c r="C140" s="16"/>
    </row>
    <row r="141" spans="1:3">
      <c r="C141" s="16"/>
    </row>
    <row r="142" spans="1:3">
      <c r="C142" s="16"/>
    </row>
    <row r="143" spans="1:3">
      <c r="C143" s="16"/>
    </row>
    <row r="144" spans="1:3">
      <c r="C144" s="16"/>
    </row>
    <row r="145" spans="1:3">
      <c r="C145" s="23"/>
    </row>
    <row r="146" spans="1:3">
      <c r="B146" s="23"/>
      <c r="C146" s="23"/>
    </row>
    <row r="147" spans="1:3">
      <c r="B147" s="16"/>
      <c r="C147" s="23"/>
    </row>
    <row r="148" spans="1:3">
      <c r="A148" s="52"/>
      <c r="B148" s="16"/>
      <c r="C148" s="16"/>
    </row>
    <row r="149" spans="1:3">
      <c r="B149" s="21"/>
      <c r="C149" s="23"/>
    </row>
    <row r="150" spans="1:3">
      <c r="B150" s="23"/>
      <c r="C150" s="23"/>
    </row>
    <row r="151" spans="1:3">
      <c r="C151" s="23"/>
    </row>
    <row r="152" spans="1:3">
      <c r="A152" s="52"/>
      <c r="B152" s="21"/>
      <c r="C152" s="23"/>
    </row>
    <row r="153" spans="1:3">
      <c r="A153" s="52"/>
      <c r="B153" s="21"/>
      <c r="C153" s="16"/>
    </row>
    <row r="154" spans="1:3">
      <c r="A154" s="52"/>
      <c r="B154" s="21"/>
      <c r="C154" s="16"/>
    </row>
    <row r="155" spans="1:3">
      <c r="A155" s="52"/>
      <c r="B155" s="21"/>
      <c r="C155" s="16"/>
    </row>
    <row r="156" spans="1:3">
      <c r="A156" s="52"/>
      <c r="B156" s="21"/>
      <c r="C156" s="16"/>
    </row>
    <row r="157" spans="1:3">
      <c r="A157" s="52"/>
      <c r="B157" s="21"/>
      <c r="C157" s="16"/>
    </row>
    <row r="158" spans="1:3">
      <c r="A158" s="52"/>
      <c r="B158" s="21"/>
      <c r="C158" s="16"/>
    </row>
    <row r="159" spans="1:3">
      <c r="A159" s="52"/>
      <c r="B159" s="16"/>
      <c r="C159" s="16"/>
    </row>
    <row r="160" spans="1:3">
      <c r="B160" s="10"/>
      <c r="C160" s="10"/>
    </row>
    <row r="161" spans="1:3">
      <c r="C161" s="23"/>
    </row>
    <row r="162" spans="1:3">
      <c r="C162" s="16"/>
    </row>
    <row r="163" spans="1:3">
      <c r="C163" s="23"/>
    </row>
    <row r="164" spans="1:3">
      <c r="A164" s="52"/>
      <c r="B164" s="16"/>
      <c r="C164" s="26"/>
    </row>
    <row r="165" spans="1:3">
      <c r="C165" s="23"/>
    </row>
    <row r="166" spans="1:3">
      <c r="C166" s="23"/>
    </row>
    <row r="167" spans="1:3">
      <c r="A167" s="52"/>
      <c r="B167" s="21"/>
      <c r="C167" s="16"/>
    </row>
    <row r="168" spans="1:3">
      <c r="A168" s="52"/>
      <c r="C168" s="16"/>
    </row>
    <row r="169" spans="1:3">
      <c r="A169" s="52"/>
      <c r="C169" s="16"/>
    </row>
    <row r="170" spans="1:3">
      <c r="A170" s="52"/>
      <c r="C170" s="16"/>
    </row>
    <row r="171" spans="1:3">
      <c r="A171" s="52"/>
      <c r="C171" s="16"/>
    </row>
    <row r="172" spans="1:3">
      <c r="A172" s="52"/>
      <c r="C172" s="16"/>
    </row>
    <row r="173" spans="1:3">
      <c r="C173" s="23"/>
    </row>
    <row r="174" spans="1:3">
      <c r="C174" s="23"/>
    </row>
    <row r="175" spans="1:3">
      <c r="C175" s="23"/>
    </row>
    <row r="176" spans="1:3">
      <c r="A176" s="52"/>
      <c r="B176" s="21"/>
      <c r="C176" s="16"/>
    </row>
    <row r="177" spans="1:3">
      <c r="A177" s="52"/>
      <c r="B177" s="21"/>
      <c r="C177" s="16"/>
    </row>
    <row r="178" spans="1:3">
      <c r="C178" s="23"/>
    </row>
    <row r="179" spans="1:3">
      <c r="C179" s="16"/>
    </row>
    <row r="180" spans="1:3">
      <c r="C180" s="10"/>
    </row>
    <row r="181" spans="1:3">
      <c r="C181" s="16"/>
    </row>
    <row r="182" spans="1:3">
      <c r="C182" s="16"/>
    </row>
    <row r="183" spans="1:3">
      <c r="C183" s="16"/>
    </row>
    <row r="184" spans="1:3">
      <c r="C184" s="16"/>
    </row>
    <row r="185" spans="1:3">
      <c r="C185" s="16"/>
    </row>
    <row r="186" spans="1:3">
      <c r="A186" s="52"/>
      <c r="B186" s="21"/>
      <c r="C186" s="16"/>
    </row>
    <row r="187" spans="1:3">
      <c r="A187" s="52"/>
      <c r="B187" s="21"/>
      <c r="C187" s="16"/>
    </row>
    <row r="188" spans="1:3">
      <c r="A188" s="52"/>
      <c r="B188" s="21"/>
      <c r="C188" s="16"/>
    </row>
    <row r="189" spans="1:3">
      <c r="A189" s="52"/>
      <c r="B189" s="21"/>
      <c r="C189" s="21"/>
    </row>
    <row r="190" spans="1:3">
      <c r="C190" s="23"/>
    </row>
    <row r="191" spans="1:3">
      <c r="C191" s="23"/>
    </row>
    <row r="192" spans="1:3">
      <c r="C192" s="23"/>
    </row>
    <row r="193" spans="1:3">
      <c r="C193" s="23"/>
    </row>
    <row r="194" spans="1:3">
      <c r="C194" s="23"/>
    </row>
    <row r="195" spans="1:3">
      <c r="C195" s="23"/>
    </row>
    <row r="196" spans="1:3">
      <c r="C196" s="23"/>
    </row>
    <row r="197" spans="1:3">
      <c r="C197" s="23"/>
    </row>
    <row r="198" spans="1:3">
      <c r="C198" s="23"/>
    </row>
    <row r="199" spans="1:3">
      <c r="A199" s="52"/>
      <c r="C199" s="16"/>
    </row>
    <row r="200" spans="1:3">
      <c r="C200" s="23"/>
    </row>
    <row r="201" spans="1:3">
      <c r="C201" s="23"/>
    </row>
    <row r="202" spans="1:3">
      <c r="C202" s="23"/>
    </row>
    <row r="203" spans="1:3">
      <c r="A203" s="52"/>
      <c r="B203" s="21"/>
      <c r="C203" s="16"/>
    </row>
    <row r="204" spans="1:3">
      <c r="A204" s="52"/>
      <c r="B204" s="21"/>
      <c r="C204" s="16"/>
    </row>
    <row r="205" spans="1:3">
      <c r="C205" s="23"/>
    </row>
    <row r="206" spans="1:3">
      <c r="C206" s="16"/>
    </row>
    <row r="207" spans="1:3">
      <c r="C207" s="10"/>
    </row>
    <row r="208" spans="1:3">
      <c r="C208" s="16"/>
    </row>
    <row r="209" spans="1:3">
      <c r="C209" s="16"/>
    </row>
    <row r="210" spans="1:3">
      <c r="C210" s="16"/>
    </row>
    <row r="211" spans="1:3">
      <c r="C211" s="16"/>
    </row>
    <row r="212" spans="1:3">
      <c r="C212" s="16"/>
    </row>
    <row r="213" spans="1:3">
      <c r="A213" s="52"/>
      <c r="B213" s="21"/>
      <c r="C213" s="16"/>
    </row>
    <row r="214" spans="1:3">
      <c r="A214" s="52"/>
      <c r="B214" s="21"/>
      <c r="C214" s="16"/>
    </row>
    <row r="215" spans="1:3">
      <c r="A215" s="52"/>
      <c r="B215" s="21"/>
      <c r="C215" s="16"/>
    </row>
    <row r="216" spans="1:3">
      <c r="A216" s="52"/>
      <c r="B216" s="21"/>
      <c r="C216" s="21"/>
    </row>
    <row r="217" spans="1:3">
      <c r="C217" s="23"/>
    </row>
    <row r="218" spans="1:3">
      <c r="C218" s="23"/>
    </row>
    <row r="219" spans="1:3">
      <c r="C219" s="23"/>
    </row>
    <row r="220" spans="1:3">
      <c r="C220" s="23"/>
    </row>
    <row r="221" spans="1:3">
      <c r="C221" s="23"/>
    </row>
    <row r="222" spans="1:3">
      <c r="C222" s="23"/>
    </row>
    <row r="223" spans="1:3">
      <c r="C223" s="23"/>
    </row>
    <row r="224" spans="1:3">
      <c r="C224" s="23"/>
    </row>
    <row r="225" spans="3:3">
      <c r="C225" s="23"/>
    </row>
  </sheetData>
  <mergeCells count="1">
    <mergeCell ref="A1:D1"/>
  </mergeCells>
  <pageMargins left="0.7" right="0.7" top="0.75" bottom="0.75" header="0.3" footer="0.3"/>
  <pageSetup orientation="landscape" r:id="rId1"/>
  <headerFooter>
    <oddFooter>&amp;LBusiness Architecture Guild Copyright 2019 &amp;RFinancial Services Reference Model v2.0</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44"/>
  <sheetViews>
    <sheetView zoomScale="90" zoomScaleNormal="90" zoomScalePageLayoutView="110" workbookViewId="0">
      <selection sqref="A1:D1"/>
    </sheetView>
  </sheetViews>
  <sheetFormatPr defaultColWidth="8.81640625" defaultRowHeight="14.5"/>
  <cols>
    <col min="1" max="1" width="15.26953125" style="8" customWidth="1"/>
    <col min="2" max="2" width="19.54296875" style="8" customWidth="1"/>
    <col min="3" max="3" width="22.26953125" style="8" customWidth="1"/>
    <col min="4" max="4" width="75.90625" style="8" customWidth="1"/>
    <col min="5" max="16384" width="8.81640625" style="8"/>
  </cols>
  <sheetData>
    <row r="1" spans="1:4" ht="19" thickBot="1">
      <c r="A1" s="172" t="s">
        <v>19</v>
      </c>
      <c r="B1" s="172"/>
      <c r="C1" s="172"/>
      <c r="D1" s="172"/>
    </row>
    <row r="2" spans="1:4" s="27" customFormat="1" ht="31.5" thickBot="1">
      <c r="A2" s="6" t="s">
        <v>13</v>
      </c>
      <c r="B2" s="7" t="s">
        <v>14</v>
      </c>
      <c r="C2" s="7" t="s">
        <v>15</v>
      </c>
      <c r="D2" s="7" t="s">
        <v>16</v>
      </c>
    </row>
    <row r="3" spans="1:4" ht="43.5">
      <c r="A3" s="3" t="s">
        <v>1072</v>
      </c>
      <c r="B3" s="3" t="s">
        <v>1198</v>
      </c>
      <c r="C3" s="3" t="s">
        <v>1073</v>
      </c>
      <c r="D3" s="4" t="s">
        <v>1074</v>
      </c>
    </row>
    <row r="4" spans="1:4" ht="29">
      <c r="A4" s="3" t="s">
        <v>1072</v>
      </c>
      <c r="B4" s="3" t="s">
        <v>1198</v>
      </c>
      <c r="C4" s="3" t="s">
        <v>1075</v>
      </c>
      <c r="D4" s="4" t="s">
        <v>1199</v>
      </c>
    </row>
    <row r="5" spans="1:4" ht="29">
      <c r="A5" s="3" t="s">
        <v>1080</v>
      </c>
      <c r="B5" s="3" t="s">
        <v>1100</v>
      </c>
      <c r="C5" s="3" t="s">
        <v>1059</v>
      </c>
      <c r="D5" s="4" t="s">
        <v>1200</v>
      </c>
    </row>
    <row r="6" spans="1:4" ht="29">
      <c r="A6" s="3" t="s">
        <v>1072</v>
      </c>
      <c r="B6" s="3" t="s">
        <v>1198</v>
      </c>
      <c r="C6" s="3" t="s">
        <v>1076</v>
      </c>
      <c r="D6" s="4" t="s">
        <v>1201</v>
      </c>
    </row>
    <row r="7" spans="1:4" ht="29">
      <c r="A7" s="3" t="s">
        <v>20</v>
      </c>
      <c r="B7" s="3" t="s">
        <v>1202</v>
      </c>
      <c r="C7" s="3" t="s">
        <v>1077</v>
      </c>
      <c r="D7" s="4" t="s">
        <v>1078</v>
      </c>
    </row>
    <row r="8" spans="1:4" ht="29">
      <c r="A8" s="3" t="s">
        <v>1072</v>
      </c>
      <c r="B8" s="3" t="s">
        <v>1198</v>
      </c>
      <c r="C8" s="3" t="s">
        <v>1079</v>
      </c>
      <c r="D8" s="4" t="s">
        <v>1203</v>
      </c>
    </row>
    <row r="9" spans="1:4" ht="29">
      <c r="A9" s="3" t="s">
        <v>1072</v>
      </c>
      <c r="B9" s="3" t="s">
        <v>1198</v>
      </c>
      <c r="C9" s="3" t="s">
        <v>1253</v>
      </c>
      <c r="D9" s="4" t="s">
        <v>1204</v>
      </c>
    </row>
    <row r="10" spans="1:4" ht="29">
      <c r="A10" s="3" t="s">
        <v>1072</v>
      </c>
      <c r="B10" s="3" t="s">
        <v>1198</v>
      </c>
      <c r="C10" s="3" t="s">
        <v>1464</v>
      </c>
      <c r="D10" s="4" t="s">
        <v>3008</v>
      </c>
    </row>
    <row r="11" spans="1:4" ht="43.5">
      <c r="A11" s="3" t="s">
        <v>1080</v>
      </c>
      <c r="B11" s="3" t="s">
        <v>1100</v>
      </c>
      <c r="C11" s="3" t="s">
        <v>1081</v>
      </c>
      <c r="D11" s="4" t="s">
        <v>1205</v>
      </c>
    </row>
    <row r="12" spans="1:4" ht="29">
      <c r="A12" s="3" t="s">
        <v>1072</v>
      </c>
      <c r="B12" s="3" t="s">
        <v>1198</v>
      </c>
      <c r="C12" s="3" t="s">
        <v>1082</v>
      </c>
      <c r="D12" s="4" t="s">
        <v>1083</v>
      </c>
    </row>
    <row r="13" spans="1:4" ht="29">
      <c r="A13" s="3" t="s">
        <v>1080</v>
      </c>
      <c r="B13" s="3" t="s">
        <v>1084</v>
      </c>
      <c r="C13" s="3" t="s">
        <v>1206</v>
      </c>
      <c r="D13" s="4" t="s">
        <v>1207</v>
      </c>
    </row>
    <row r="14" spans="1:4" ht="29">
      <c r="A14" s="3" t="s">
        <v>1072</v>
      </c>
      <c r="B14" s="3" t="s">
        <v>1198</v>
      </c>
      <c r="C14" s="3" t="s">
        <v>1085</v>
      </c>
      <c r="D14" s="4" t="s">
        <v>1086</v>
      </c>
    </row>
    <row r="15" spans="1:4" ht="29">
      <c r="A15" s="3" t="s">
        <v>1072</v>
      </c>
      <c r="B15" s="3" t="s">
        <v>1198</v>
      </c>
      <c r="C15" s="3" t="s">
        <v>1087</v>
      </c>
      <c r="D15" s="4" t="s">
        <v>1208</v>
      </c>
    </row>
    <row r="16" spans="1:4" ht="29">
      <c r="A16" s="3" t="s">
        <v>1072</v>
      </c>
      <c r="B16" s="3" t="s">
        <v>1198</v>
      </c>
      <c r="C16" s="3" t="s">
        <v>1088</v>
      </c>
      <c r="D16" s="4" t="s">
        <v>1209</v>
      </c>
    </row>
    <row r="17" spans="1:4" ht="29">
      <c r="A17" s="3" t="s">
        <v>1072</v>
      </c>
      <c r="B17" s="3" t="s">
        <v>1198</v>
      </c>
      <c r="C17" s="3" t="s">
        <v>1089</v>
      </c>
      <c r="D17" s="4" t="s">
        <v>3174</v>
      </c>
    </row>
    <row r="18" spans="1:4" ht="29">
      <c r="A18" s="3" t="s">
        <v>1072</v>
      </c>
      <c r="B18" s="3" t="s">
        <v>1198</v>
      </c>
      <c r="C18" s="3" t="s">
        <v>1090</v>
      </c>
      <c r="D18" s="4" t="s">
        <v>3175</v>
      </c>
    </row>
    <row r="19" spans="1:4" ht="43.5">
      <c r="A19" s="3" t="s">
        <v>20</v>
      </c>
      <c r="B19" s="3" t="s">
        <v>1202</v>
      </c>
      <c r="C19" s="3" t="s">
        <v>1091</v>
      </c>
      <c r="D19" s="4" t="s">
        <v>1210</v>
      </c>
    </row>
    <row r="20" spans="1:4" ht="43.5">
      <c r="A20" s="3" t="s">
        <v>1080</v>
      </c>
      <c r="B20" s="3" t="s">
        <v>1100</v>
      </c>
      <c r="C20" s="3" t="s">
        <v>1092</v>
      </c>
      <c r="D20" s="4" t="s">
        <v>1211</v>
      </c>
    </row>
    <row r="21" spans="1:4" ht="43.5">
      <c r="A21" s="3" t="s">
        <v>1072</v>
      </c>
      <c r="B21" s="3" t="s">
        <v>1198</v>
      </c>
      <c r="C21" s="3" t="s">
        <v>1060</v>
      </c>
      <c r="D21" s="4" t="s">
        <v>1212</v>
      </c>
    </row>
    <row r="22" spans="1:4" ht="29">
      <c r="A22" s="3" t="s">
        <v>1080</v>
      </c>
      <c r="B22" s="3" t="s">
        <v>1084</v>
      </c>
      <c r="C22" s="3" t="s">
        <v>1058</v>
      </c>
      <c r="D22" s="4" t="s">
        <v>1093</v>
      </c>
    </row>
    <row r="23" spans="1:4" ht="43.5">
      <c r="A23" s="3" t="s">
        <v>1072</v>
      </c>
      <c r="B23" s="3" t="s">
        <v>1198</v>
      </c>
      <c r="C23" s="3" t="s">
        <v>1213</v>
      </c>
      <c r="D23" s="4" t="s">
        <v>1214</v>
      </c>
    </row>
    <row r="24" spans="1:4" ht="43.5">
      <c r="A24" s="3" t="s">
        <v>20</v>
      </c>
      <c r="B24" s="3" t="s">
        <v>1202</v>
      </c>
      <c r="C24" s="3" t="s">
        <v>1094</v>
      </c>
      <c r="D24" s="4" t="s">
        <v>1215</v>
      </c>
    </row>
    <row r="25" spans="1:4" ht="29">
      <c r="A25" s="3" t="s">
        <v>1080</v>
      </c>
      <c r="B25" s="3" t="s">
        <v>1100</v>
      </c>
      <c r="C25" s="3" t="s">
        <v>1095</v>
      </c>
      <c r="D25" s="4" t="s">
        <v>1096</v>
      </c>
    </row>
    <row r="26" spans="1:4" ht="29">
      <c r="A26" s="3" t="s">
        <v>1072</v>
      </c>
      <c r="B26" s="3" t="s">
        <v>1198</v>
      </c>
      <c r="C26" s="3" t="s">
        <v>1097</v>
      </c>
      <c r="D26" s="4" t="s">
        <v>1098</v>
      </c>
    </row>
    <row r="27" spans="1:4" ht="58">
      <c r="A27" s="3" t="s">
        <v>20</v>
      </c>
      <c r="B27" s="3" t="s">
        <v>1202</v>
      </c>
      <c r="C27" s="3" t="s">
        <v>1099</v>
      </c>
      <c r="D27" s="4" t="s">
        <v>1216</v>
      </c>
    </row>
    <row r="28" spans="1:4" ht="43.5">
      <c r="A28" s="3" t="s">
        <v>1072</v>
      </c>
      <c r="B28" s="3" t="s">
        <v>1198</v>
      </c>
      <c r="C28" s="3" t="s">
        <v>1217</v>
      </c>
      <c r="D28" s="4" t="s">
        <v>1218</v>
      </c>
    </row>
    <row r="29" spans="1:4" ht="29">
      <c r="A29" s="3" t="s">
        <v>1080</v>
      </c>
      <c r="B29" s="3" t="s">
        <v>1100</v>
      </c>
      <c r="C29" s="3" t="s">
        <v>1219</v>
      </c>
      <c r="D29" s="4" t="s">
        <v>2180</v>
      </c>
    </row>
    <row r="30" spans="1:4" ht="58">
      <c r="A30" s="3" t="s">
        <v>1072</v>
      </c>
      <c r="B30" s="3" t="s">
        <v>1198</v>
      </c>
      <c r="C30" s="3" t="s">
        <v>1057</v>
      </c>
      <c r="D30" s="4" t="s">
        <v>1101</v>
      </c>
    </row>
    <row r="31" spans="1:4" ht="29">
      <c r="A31" s="3" t="s">
        <v>1072</v>
      </c>
      <c r="B31" s="3" t="s">
        <v>1198</v>
      </c>
      <c r="C31" s="3" t="s">
        <v>1102</v>
      </c>
      <c r="D31" s="4" t="s">
        <v>1103</v>
      </c>
    </row>
    <row r="32" spans="1:4" ht="29">
      <c r="A32" s="3" t="s">
        <v>1072</v>
      </c>
      <c r="B32" s="3" t="s">
        <v>1198</v>
      </c>
      <c r="C32" s="3" t="s">
        <v>1104</v>
      </c>
      <c r="D32" s="4" t="s">
        <v>1105</v>
      </c>
    </row>
    <row r="33" spans="1:5" ht="43.5">
      <c r="A33" s="3" t="s">
        <v>1080</v>
      </c>
      <c r="B33" s="3" t="s">
        <v>1220</v>
      </c>
      <c r="C33" s="3" t="s">
        <v>1106</v>
      </c>
      <c r="D33" s="4" t="s">
        <v>1221</v>
      </c>
    </row>
    <row r="34" spans="1:5" ht="43.5">
      <c r="A34" s="3" t="s">
        <v>1072</v>
      </c>
      <c r="B34" s="3" t="s">
        <v>1198</v>
      </c>
      <c r="C34" s="3" t="s">
        <v>1107</v>
      </c>
      <c r="D34" s="4" t="s">
        <v>1108</v>
      </c>
    </row>
    <row r="35" spans="1:5" ht="29">
      <c r="A35" s="3" t="s">
        <v>1080</v>
      </c>
      <c r="B35" s="3" t="s">
        <v>1100</v>
      </c>
      <c r="C35" s="3" t="s">
        <v>1109</v>
      </c>
      <c r="D35" s="4" t="s">
        <v>1110</v>
      </c>
    </row>
    <row r="36" spans="1:5" ht="29">
      <c r="A36" s="3" t="s">
        <v>1080</v>
      </c>
      <c r="B36" s="3" t="s">
        <v>1220</v>
      </c>
      <c r="C36" s="3" t="s">
        <v>1222</v>
      </c>
      <c r="D36" s="4" t="s">
        <v>1223</v>
      </c>
    </row>
    <row r="37" spans="1:5" ht="29">
      <c r="A37" s="3" t="s">
        <v>1072</v>
      </c>
      <c r="B37" s="3" t="s">
        <v>1198</v>
      </c>
      <c r="C37" s="3" t="s">
        <v>1111</v>
      </c>
      <c r="D37" s="4" t="s">
        <v>1224</v>
      </c>
    </row>
    <row r="38" spans="1:5" ht="29">
      <c r="A38" s="3" t="s">
        <v>1080</v>
      </c>
      <c r="B38" s="3" t="s">
        <v>1100</v>
      </c>
      <c r="C38" s="106" t="s">
        <v>1112</v>
      </c>
      <c r="D38" s="107" t="s">
        <v>1113</v>
      </c>
      <c r="E38" s="108" t="s">
        <v>3176</v>
      </c>
    </row>
    <row r="39" spans="1:5" ht="43.5">
      <c r="A39" s="3" t="s">
        <v>1080</v>
      </c>
      <c r="B39" s="3" t="s">
        <v>1100</v>
      </c>
      <c r="C39" s="3" t="s">
        <v>1114</v>
      </c>
      <c r="D39" s="4" t="s">
        <v>1225</v>
      </c>
    </row>
    <row r="40" spans="1:5" ht="29">
      <c r="A40" s="3" t="s">
        <v>20</v>
      </c>
      <c r="B40" s="3" t="s">
        <v>1198</v>
      </c>
      <c r="C40" s="3" t="s">
        <v>1226</v>
      </c>
      <c r="D40" s="4" t="s">
        <v>1227</v>
      </c>
    </row>
    <row r="41" spans="1:5" ht="29">
      <c r="A41" s="3" t="s">
        <v>1072</v>
      </c>
      <c r="B41" s="3" t="s">
        <v>1198</v>
      </c>
      <c r="C41" s="3" t="s">
        <v>1115</v>
      </c>
      <c r="D41" s="4" t="s">
        <v>1228</v>
      </c>
    </row>
    <row r="42" spans="1:5" ht="29">
      <c r="A42" s="3" t="s">
        <v>20</v>
      </c>
      <c r="B42" s="3" t="s">
        <v>1202</v>
      </c>
      <c r="C42" s="3" t="s">
        <v>1116</v>
      </c>
      <c r="D42" s="4" t="s">
        <v>1229</v>
      </c>
    </row>
    <row r="43" spans="1:5" ht="43.5">
      <c r="A43" s="3" t="s">
        <v>1080</v>
      </c>
      <c r="B43" s="3" t="s">
        <v>1100</v>
      </c>
      <c r="C43" s="3" t="s">
        <v>1117</v>
      </c>
      <c r="D43" s="4" t="s">
        <v>1230</v>
      </c>
    </row>
    <row r="44" spans="1:5" ht="15" customHeight="1">
      <c r="A44" s="109" t="s">
        <v>22</v>
      </c>
      <c r="B44" s="110"/>
      <c r="C44" s="110"/>
      <c r="D44" s="111"/>
    </row>
  </sheetData>
  <autoFilter ref="A2:C2" xr:uid="{00000000-0009-0000-0000-000006000000}"/>
  <mergeCells count="1">
    <mergeCell ref="A1:D1"/>
  </mergeCells>
  <pageMargins left="0.7" right="0.7" top="0.75" bottom="0.75" header="0.3" footer="0.3"/>
  <pageSetup scale="95" fitToHeight="0" orientation="landscape" r:id="rId1"/>
  <headerFooter>
    <oddFooter>&amp;LBusiness Architecture Guild Copyright 2019 &amp;RFinancial Services Reference Model v2.0</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
  <sheetViews>
    <sheetView zoomScale="80" zoomScaleNormal="80" zoomScalePageLayoutView="110" workbookViewId="0">
      <selection activeCell="A2" sqref="A2"/>
    </sheetView>
  </sheetViews>
  <sheetFormatPr defaultColWidth="8.81640625" defaultRowHeight="15.5"/>
  <cols>
    <col min="1" max="1" width="14.1796875" style="65" customWidth="1"/>
    <col min="2" max="2" width="15.54296875" style="65" customWidth="1"/>
    <col min="3" max="3" width="48.81640625" style="65" customWidth="1"/>
    <col min="4" max="4" width="27.54296875" style="65" customWidth="1"/>
    <col min="5" max="5" width="22.1796875" style="65" customWidth="1"/>
    <col min="6" max="6" width="21" style="65" customWidth="1"/>
    <col min="7" max="7" width="20.453125" style="65" customWidth="1"/>
    <col min="8" max="8" width="26.81640625" style="65" customWidth="1"/>
    <col min="9" max="16384" width="8.81640625" style="65"/>
  </cols>
  <sheetData>
    <row r="1" spans="1:9" s="64" customFormat="1" ht="31">
      <c r="A1" s="63" t="s">
        <v>5</v>
      </c>
      <c r="B1" s="63" t="s">
        <v>10</v>
      </c>
      <c r="C1" s="63" t="s">
        <v>4</v>
      </c>
      <c r="D1" s="63" t="s">
        <v>9</v>
      </c>
      <c r="E1" s="63" t="s">
        <v>8</v>
      </c>
      <c r="F1" s="63" t="s">
        <v>6</v>
      </c>
      <c r="G1" s="63" t="s">
        <v>7</v>
      </c>
      <c r="H1" s="63" t="s">
        <v>11</v>
      </c>
    </row>
    <row r="2" spans="1:9" ht="46.5">
      <c r="A2" s="80" t="s">
        <v>1787</v>
      </c>
      <c r="B2" s="83"/>
      <c r="C2" s="80" t="s">
        <v>1646</v>
      </c>
      <c r="D2" s="80" t="s">
        <v>2110</v>
      </c>
      <c r="E2" s="81"/>
      <c r="F2" s="81"/>
      <c r="G2" s="81"/>
      <c r="H2" s="80" t="s">
        <v>1647</v>
      </c>
    </row>
    <row r="3" spans="1:9" ht="46.5">
      <c r="A3" s="81"/>
      <c r="B3" s="80" t="s">
        <v>3048</v>
      </c>
      <c r="C3" s="80" t="s">
        <v>3047</v>
      </c>
      <c r="D3" s="81"/>
      <c r="E3" s="80" t="s">
        <v>3046</v>
      </c>
      <c r="F3" s="80" t="s">
        <v>1648</v>
      </c>
      <c r="G3" s="80" t="s">
        <v>2111</v>
      </c>
      <c r="H3" s="80" t="s">
        <v>1649</v>
      </c>
      <c r="I3" s="66"/>
    </row>
    <row r="4" spans="1:9" ht="66.75" customHeight="1">
      <c r="A4" s="81"/>
      <c r="B4" s="80" t="s">
        <v>1650</v>
      </c>
      <c r="C4" s="80" t="s">
        <v>1651</v>
      </c>
      <c r="D4" s="81"/>
      <c r="E4" s="80" t="s">
        <v>2139</v>
      </c>
      <c r="F4" s="80" t="s">
        <v>1652</v>
      </c>
      <c r="G4" s="80" t="s">
        <v>2112</v>
      </c>
      <c r="H4" s="80" t="s">
        <v>1653</v>
      </c>
      <c r="I4" s="66"/>
    </row>
    <row r="5" spans="1:9" ht="62">
      <c r="A5" s="81"/>
      <c r="B5" s="80" t="s">
        <v>1654</v>
      </c>
      <c r="C5" s="80" t="s">
        <v>2140</v>
      </c>
      <c r="D5" s="81"/>
      <c r="E5" s="80" t="s">
        <v>1655</v>
      </c>
      <c r="F5" s="80" t="s">
        <v>1656</v>
      </c>
      <c r="G5" s="80" t="s">
        <v>2113</v>
      </c>
      <c r="H5" s="80" t="s">
        <v>1657</v>
      </c>
      <c r="I5" s="66"/>
    </row>
    <row r="6" spans="1:9" ht="77.5">
      <c r="A6" s="81"/>
      <c r="B6" s="80" t="s">
        <v>1658</v>
      </c>
      <c r="C6" s="80" t="s">
        <v>2141</v>
      </c>
      <c r="D6" s="81"/>
      <c r="E6" s="80" t="s">
        <v>1659</v>
      </c>
      <c r="F6" s="80" t="s">
        <v>1660</v>
      </c>
      <c r="G6" s="80" t="s">
        <v>2114</v>
      </c>
      <c r="H6" s="80" t="s">
        <v>1661</v>
      </c>
      <c r="I6" s="66"/>
    </row>
    <row r="7" spans="1:9" ht="62">
      <c r="A7" s="81"/>
      <c r="B7" s="80" t="s">
        <v>1662</v>
      </c>
      <c r="C7" s="80" t="s">
        <v>1663</v>
      </c>
      <c r="D7" s="81"/>
      <c r="E7" s="80" t="s">
        <v>1660</v>
      </c>
      <c r="F7" s="80" t="s">
        <v>1664</v>
      </c>
      <c r="G7" s="80" t="s">
        <v>2115</v>
      </c>
      <c r="H7" s="80" t="s">
        <v>1665</v>
      </c>
      <c r="I7" s="66"/>
    </row>
    <row r="8" spans="1:9" ht="62">
      <c r="A8" s="81"/>
      <c r="B8" s="80" t="s">
        <v>1666</v>
      </c>
      <c r="C8" s="80" t="s">
        <v>1667</v>
      </c>
      <c r="D8" s="81"/>
      <c r="E8" s="80" t="s">
        <v>1668</v>
      </c>
      <c r="F8" s="80" t="s">
        <v>1669</v>
      </c>
      <c r="G8" s="80" t="s">
        <v>2116</v>
      </c>
      <c r="H8" s="80" t="s">
        <v>1670</v>
      </c>
      <c r="I8" s="66"/>
    </row>
    <row r="10" spans="1:9">
      <c r="C10" s="67"/>
    </row>
  </sheetData>
  <pageMargins left="0.7" right="0.7" top="0.75" bottom="0.75" header="0.3" footer="0.3"/>
  <pageSetup fitToHeight="1000" orientation="landscape" r:id="rId1"/>
  <headerFooter>
    <oddFooter>&amp;LBusiness Architecture Guild Copyright 2019 &amp;RFinancial Services Reference Model v2.0</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zoomScale="82" zoomScaleNormal="82" zoomScalePageLayoutView="110" workbookViewId="0"/>
  </sheetViews>
  <sheetFormatPr defaultColWidth="8.81640625" defaultRowHeight="15.5"/>
  <cols>
    <col min="1" max="1" width="16.7265625" style="65" customWidth="1"/>
    <col min="2" max="2" width="15.54296875" style="65" customWidth="1"/>
    <col min="3" max="3" width="55" style="65" customWidth="1"/>
    <col min="4" max="4" width="21.54296875" style="65" customWidth="1"/>
    <col min="5" max="5" width="25.453125" style="65" customWidth="1"/>
    <col min="6" max="6" width="21.54296875" style="65" customWidth="1"/>
    <col min="7" max="7" width="16.7265625" style="65" customWidth="1"/>
    <col min="8" max="8" width="28.26953125" style="65" customWidth="1"/>
    <col min="9" max="16384" width="8.81640625" style="65"/>
  </cols>
  <sheetData>
    <row r="1" spans="1:8" s="64" customFormat="1" ht="31">
      <c r="A1" s="63" t="s">
        <v>5</v>
      </c>
      <c r="B1" s="63" t="s">
        <v>10</v>
      </c>
      <c r="C1" s="63" t="s">
        <v>4</v>
      </c>
      <c r="D1" s="63" t="s">
        <v>9</v>
      </c>
      <c r="E1" s="63" t="s">
        <v>8</v>
      </c>
      <c r="F1" s="63" t="s">
        <v>6</v>
      </c>
      <c r="G1" s="63" t="s">
        <v>7</v>
      </c>
      <c r="H1" s="63" t="s">
        <v>11</v>
      </c>
    </row>
    <row r="2" spans="1:8" ht="46.5">
      <c r="A2" s="80" t="s">
        <v>1671</v>
      </c>
      <c r="B2" s="81"/>
      <c r="C2" s="80" t="s">
        <v>1672</v>
      </c>
      <c r="D2" s="80" t="s">
        <v>3177</v>
      </c>
      <c r="E2" s="81"/>
      <c r="F2" s="81"/>
      <c r="G2" s="81"/>
      <c r="H2" s="80" t="s">
        <v>1057</v>
      </c>
    </row>
    <row r="3" spans="1:8" ht="46.5">
      <c r="A3" s="81"/>
      <c r="B3" s="80" t="s">
        <v>1673</v>
      </c>
      <c r="C3" s="80" t="s">
        <v>1674</v>
      </c>
      <c r="D3" s="81"/>
      <c r="E3" s="80" t="s">
        <v>1675</v>
      </c>
      <c r="F3" s="80" t="s">
        <v>1676</v>
      </c>
      <c r="G3" s="80" t="s">
        <v>2142</v>
      </c>
      <c r="H3" s="80" t="s">
        <v>1677</v>
      </c>
    </row>
    <row r="4" spans="1:8" ht="77.5">
      <c r="A4" s="81"/>
      <c r="B4" s="80" t="s">
        <v>1678</v>
      </c>
      <c r="C4" s="80" t="s">
        <v>1679</v>
      </c>
      <c r="D4" s="81"/>
      <c r="E4" s="80" t="s">
        <v>1680</v>
      </c>
      <c r="F4" s="80" t="s">
        <v>1681</v>
      </c>
      <c r="G4" s="80" t="s">
        <v>2143</v>
      </c>
      <c r="H4" s="80" t="s">
        <v>1682</v>
      </c>
    </row>
    <row r="5" spans="1:8" ht="62">
      <c r="A5" s="81"/>
      <c r="B5" s="80" t="s">
        <v>1683</v>
      </c>
      <c r="C5" s="80" t="s">
        <v>1684</v>
      </c>
      <c r="D5" s="81"/>
      <c r="E5" s="80" t="s">
        <v>1681</v>
      </c>
      <c r="F5" s="80" t="s">
        <v>1685</v>
      </c>
      <c r="G5" s="80" t="s">
        <v>2144</v>
      </c>
      <c r="H5" s="80" t="s">
        <v>1686</v>
      </c>
    </row>
    <row r="6" spans="1:8" ht="77.5">
      <c r="A6" s="81"/>
      <c r="B6" s="80" t="s">
        <v>1687</v>
      </c>
      <c r="C6" s="80" t="s">
        <v>1688</v>
      </c>
      <c r="D6" s="81"/>
      <c r="E6" s="80" t="s">
        <v>1689</v>
      </c>
      <c r="F6" s="80" t="s">
        <v>2145</v>
      </c>
      <c r="G6" s="80" t="s">
        <v>2146</v>
      </c>
      <c r="H6" s="80" t="s">
        <v>1690</v>
      </c>
    </row>
    <row r="7" spans="1:8" ht="62">
      <c r="A7" s="81"/>
      <c r="B7" s="80" t="s">
        <v>1691</v>
      </c>
      <c r="C7" s="80" t="s">
        <v>1692</v>
      </c>
      <c r="D7" s="81"/>
      <c r="E7" s="80" t="s">
        <v>2145</v>
      </c>
      <c r="F7" s="80" t="s">
        <v>1693</v>
      </c>
      <c r="G7" s="80" t="s">
        <v>2147</v>
      </c>
      <c r="H7" s="80" t="s">
        <v>1694</v>
      </c>
    </row>
    <row r="8" spans="1:8" ht="77.5">
      <c r="A8" s="81"/>
      <c r="B8" s="80" t="s">
        <v>2183</v>
      </c>
      <c r="C8" s="80" t="s">
        <v>2184</v>
      </c>
      <c r="D8" s="81"/>
      <c r="E8" s="80" t="s">
        <v>2185</v>
      </c>
      <c r="F8" s="80" t="s">
        <v>2186</v>
      </c>
      <c r="G8" s="80" t="s">
        <v>2187</v>
      </c>
      <c r="H8" s="80" t="s">
        <v>1690</v>
      </c>
    </row>
    <row r="9" spans="1:8">
      <c r="C9" s="67"/>
    </row>
  </sheetData>
  <pageMargins left="0.7" right="0.7" top="0.75" bottom="0.75" header="0.3" footer="0.3"/>
  <pageSetup fitToHeight="1000" orientation="landscape" r:id="rId1"/>
  <headerFooter>
    <oddFooter>&amp;LBusiness Architecture Guild Copyright 2019 &amp;RFinancial Services Reference Model v2.0</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80" zoomScaleNormal="80" zoomScalePageLayoutView="110" workbookViewId="0">
      <selection activeCell="A2" sqref="A2"/>
    </sheetView>
  </sheetViews>
  <sheetFormatPr defaultColWidth="8.81640625" defaultRowHeight="15.5"/>
  <cols>
    <col min="1" max="1" width="17.1796875" style="65" customWidth="1"/>
    <col min="2" max="2" width="15.54296875" style="65" customWidth="1"/>
    <col min="3" max="3" width="50.54296875" style="65" customWidth="1"/>
    <col min="4" max="4" width="25.6328125" style="65" customWidth="1"/>
    <col min="5" max="5" width="19.54296875" style="65" customWidth="1"/>
    <col min="6" max="6" width="20.26953125" style="65" customWidth="1"/>
    <col min="7" max="7" width="22.54296875" style="65" customWidth="1"/>
    <col min="8" max="8" width="31.90625" style="65" customWidth="1"/>
    <col min="9" max="16384" width="8.81640625" style="65"/>
  </cols>
  <sheetData>
    <row r="1" spans="1:8" s="64" customFormat="1" ht="31">
      <c r="A1" s="63" t="s">
        <v>5</v>
      </c>
      <c r="B1" s="63" t="s">
        <v>10</v>
      </c>
      <c r="C1" s="63" t="s">
        <v>4</v>
      </c>
      <c r="D1" s="63" t="s">
        <v>9</v>
      </c>
      <c r="E1" s="63" t="s">
        <v>8</v>
      </c>
      <c r="F1" s="63" t="s">
        <v>6</v>
      </c>
      <c r="G1" s="63" t="s">
        <v>7</v>
      </c>
      <c r="H1" s="63" t="s">
        <v>11</v>
      </c>
    </row>
    <row r="2" spans="1:8" ht="52" customHeight="1">
      <c r="A2" s="80" t="s">
        <v>1695</v>
      </c>
      <c r="B2" s="83"/>
      <c r="C2" s="80" t="s">
        <v>1696</v>
      </c>
      <c r="D2" s="80" t="s">
        <v>2148</v>
      </c>
      <c r="E2" s="81"/>
      <c r="F2" s="81"/>
      <c r="G2" s="81"/>
      <c r="H2" s="80" t="s">
        <v>2181</v>
      </c>
    </row>
    <row r="3" spans="1:8" ht="54.5" customHeight="1">
      <c r="A3" s="81"/>
      <c r="B3" s="80" t="s">
        <v>1697</v>
      </c>
      <c r="C3" s="80" t="s">
        <v>1698</v>
      </c>
      <c r="D3" s="81"/>
      <c r="E3" s="80" t="s">
        <v>1699</v>
      </c>
      <c r="F3" s="80" t="s">
        <v>1700</v>
      </c>
      <c r="G3" s="80" t="s">
        <v>2149</v>
      </c>
      <c r="H3" s="80" t="s">
        <v>1716</v>
      </c>
    </row>
    <row r="4" spans="1:8" ht="46.5">
      <c r="A4" s="81"/>
      <c r="B4" s="80" t="s">
        <v>1701</v>
      </c>
      <c r="C4" s="80" t="s">
        <v>2150</v>
      </c>
      <c r="D4" s="81"/>
      <c r="E4" s="80" t="s">
        <v>1702</v>
      </c>
      <c r="F4" s="80" t="s">
        <v>1703</v>
      </c>
      <c r="G4" s="80" t="s">
        <v>2151</v>
      </c>
      <c r="H4" s="80" t="s">
        <v>1704</v>
      </c>
    </row>
    <row r="5" spans="1:8" ht="31">
      <c r="A5" s="81"/>
      <c r="B5" s="80" t="s">
        <v>1705</v>
      </c>
      <c r="C5" s="80" t="s">
        <v>1706</v>
      </c>
      <c r="D5" s="81"/>
      <c r="E5" s="80" t="s">
        <v>1703</v>
      </c>
      <c r="F5" s="80" t="s">
        <v>1707</v>
      </c>
      <c r="G5" s="80" t="s">
        <v>2152</v>
      </c>
      <c r="H5" s="80" t="s">
        <v>1708</v>
      </c>
    </row>
    <row r="6" spans="1:8" ht="31">
      <c r="A6" s="81"/>
      <c r="B6" s="80" t="s">
        <v>1709</v>
      </c>
      <c r="C6" s="80" t="s">
        <v>1710</v>
      </c>
      <c r="D6" s="81"/>
      <c r="E6" s="80" t="s">
        <v>1707</v>
      </c>
      <c r="F6" s="80" t="s">
        <v>1711</v>
      </c>
      <c r="G6" s="80" t="s">
        <v>2153</v>
      </c>
      <c r="H6" s="80" t="s">
        <v>1712</v>
      </c>
    </row>
    <row r="7" spans="1:8" ht="51.5" customHeight="1">
      <c r="A7" s="81"/>
      <c r="B7" s="80" t="s">
        <v>1713</v>
      </c>
      <c r="C7" s="80" t="s">
        <v>1714</v>
      </c>
      <c r="D7" s="81"/>
      <c r="E7" s="80" t="s">
        <v>1711</v>
      </c>
      <c r="F7" s="80" t="s">
        <v>1715</v>
      </c>
      <c r="G7" s="80" t="s">
        <v>2154</v>
      </c>
      <c r="H7" s="80" t="s">
        <v>1716</v>
      </c>
    </row>
    <row r="8" spans="1:8" ht="77.5">
      <c r="A8" s="81"/>
      <c r="B8" s="80" t="s">
        <v>1717</v>
      </c>
      <c r="C8" s="80" t="s">
        <v>1718</v>
      </c>
      <c r="D8" s="81"/>
      <c r="E8" s="80" t="s">
        <v>1719</v>
      </c>
      <c r="F8" s="80" t="s">
        <v>1720</v>
      </c>
      <c r="G8" s="80" t="s">
        <v>3178</v>
      </c>
      <c r="H8" s="80" t="s">
        <v>2182</v>
      </c>
    </row>
    <row r="10" spans="1:8">
      <c r="C10" s="67"/>
    </row>
  </sheetData>
  <pageMargins left="0.7" right="0.7" top="0.75" bottom="0.75" header="0.3" footer="0.3"/>
  <pageSetup fitToHeight="1000" orientation="landscape" r:id="rId1"/>
  <headerFooter>
    <oddFooter>&amp;LBusiness Architecture Guild Copyright 2019 &amp;RFinancial Services Reference Model v2.0</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
  <sheetViews>
    <sheetView zoomScale="80" zoomScaleNormal="80" zoomScalePageLayoutView="110" workbookViewId="0"/>
  </sheetViews>
  <sheetFormatPr defaultColWidth="8.81640625" defaultRowHeight="15.5"/>
  <cols>
    <col min="1" max="1" width="17.1796875" style="65" customWidth="1"/>
    <col min="2" max="2" width="15.54296875" style="65" customWidth="1"/>
    <col min="3" max="3" width="50.54296875" style="65" customWidth="1"/>
    <col min="4" max="4" width="22.54296875" style="65" customWidth="1"/>
    <col min="5" max="5" width="19.54296875" style="65" customWidth="1"/>
    <col min="6" max="6" width="20.26953125" style="65" customWidth="1"/>
    <col min="7" max="7" width="22.54296875" style="65" customWidth="1"/>
    <col min="8" max="8" width="25.453125" style="65" customWidth="1"/>
    <col min="9" max="16384" width="8.81640625" style="65"/>
  </cols>
  <sheetData>
    <row r="1" spans="1:9" s="64" customFormat="1" ht="31">
      <c r="A1" s="63" t="s">
        <v>5</v>
      </c>
      <c r="B1" s="63" t="s">
        <v>10</v>
      </c>
      <c r="C1" s="63" t="s">
        <v>4</v>
      </c>
      <c r="D1" s="63" t="s">
        <v>9</v>
      </c>
      <c r="E1" s="63" t="s">
        <v>8</v>
      </c>
      <c r="F1" s="63" t="s">
        <v>6</v>
      </c>
      <c r="G1" s="63" t="s">
        <v>7</v>
      </c>
      <c r="H1" s="63" t="s">
        <v>11</v>
      </c>
    </row>
    <row r="2" spans="1:9" ht="46.5">
      <c r="A2" s="80" t="s">
        <v>1721</v>
      </c>
      <c r="B2" s="81"/>
      <c r="C2" s="80" t="s">
        <v>1722</v>
      </c>
      <c r="D2" s="80" t="s">
        <v>2155</v>
      </c>
      <c r="E2" s="81"/>
      <c r="F2" s="81"/>
      <c r="G2" s="81"/>
      <c r="H2" s="80" t="s">
        <v>1058</v>
      </c>
    </row>
    <row r="3" spans="1:9" ht="46.5">
      <c r="A3" s="81"/>
      <c r="B3" s="80" t="s">
        <v>1723</v>
      </c>
      <c r="C3" s="80" t="s">
        <v>1724</v>
      </c>
      <c r="D3" s="81"/>
      <c r="E3" s="80" t="s">
        <v>2156</v>
      </c>
      <c r="F3" s="80" t="s">
        <v>1725</v>
      </c>
      <c r="G3" s="80" t="s">
        <v>2157</v>
      </c>
      <c r="H3" s="80" t="s">
        <v>1726</v>
      </c>
      <c r="I3" s="66"/>
    </row>
    <row r="4" spans="1:9" ht="77.5">
      <c r="A4" s="81"/>
      <c r="B4" s="80" t="s">
        <v>2158</v>
      </c>
      <c r="C4" s="80" t="s">
        <v>2159</v>
      </c>
      <c r="D4" s="81"/>
      <c r="E4" s="80" t="s">
        <v>1727</v>
      </c>
      <c r="F4" s="80" t="s">
        <v>2160</v>
      </c>
      <c r="G4" s="80" t="s">
        <v>2161</v>
      </c>
      <c r="H4" s="80" t="s">
        <v>1726</v>
      </c>
      <c r="I4" s="66"/>
    </row>
    <row r="5" spans="1:9" ht="46.5">
      <c r="A5" s="81"/>
      <c r="B5" s="80" t="s">
        <v>1728</v>
      </c>
      <c r="C5" s="80" t="s">
        <v>1729</v>
      </c>
      <c r="D5" s="81"/>
      <c r="E5" s="80" t="s">
        <v>1727</v>
      </c>
      <c r="F5" s="80" t="s">
        <v>1730</v>
      </c>
      <c r="G5" s="80" t="s">
        <v>2162</v>
      </c>
      <c r="H5" s="80" t="s">
        <v>2163</v>
      </c>
      <c r="I5" s="66"/>
    </row>
    <row r="6" spans="1:9" ht="46.5">
      <c r="A6" s="81"/>
      <c r="B6" s="80" t="s">
        <v>1731</v>
      </c>
      <c r="C6" s="80" t="s">
        <v>1732</v>
      </c>
      <c r="D6" s="81"/>
      <c r="E6" s="80" t="s">
        <v>2164</v>
      </c>
      <c r="F6" s="80" t="s">
        <v>1733</v>
      </c>
      <c r="G6" s="80" t="s">
        <v>2165</v>
      </c>
      <c r="H6" s="80" t="s">
        <v>1734</v>
      </c>
      <c r="I6" s="66"/>
    </row>
    <row r="7" spans="1:9" ht="62">
      <c r="A7" s="81"/>
      <c r="B7" s="80" t="s">
        <v>1735</v>
      </c>
      <c r="C7" s="80" t="s">
        <v>1736</v>
      </c>
      <c r="D7" s="81"/>
      <c r="E7" s="80" t="s">
        <v>1737</v>
      </c>
      <c r="F7" s="80" t="s">
        <v>1738</v>
      </c>
      <c r="G7" s="80" t="s">
        <v>2166</v>
      </c>
      <c r="H7" s="80" t="s">
        <v>1739</v>
      </c>
      <c r="I7" s="66"/>
    </row>
    <row r="8" spans="1:9" ht="62">
      <c r="A8" s="81"/>
      <c r="B8" s="80" t="s">
        <v>1740</v>
      </c>
      <c r="C8" s="80" t="s">
        <v>1741</v>
      </c>
      <c r="D8" s="81"/>
      <c r="E8" s="80" t="s">
        <v>1738</v>
      </c>
      <c r="F8" s="80" t="s">
        <v>1742</v>
      </c>
      <c r="G8" s="80" t="s">
        <v>2167</v>
      </c>
      <c r="H8" s="80" t="s">
        <v>1743</v>
      </c>
      <c r="I8" s="66"/>
    </row>
    <row r="10" spans="1:9">
      <c r="C10" s="67"/>
    </row>
  </sheetData>
  <pageMargins left="0.7" right="0.7" top="0.75" bottom="0.75" header="0.3" footer="0.3"/>
  <pageSetup fitToHeight="1000" orientation="landscape" r:id="rId1"/>
  <headerFooter>
    <oddFooter>&amp;LBusiness Architecture Guild Copyright 2019 &amp;RFinancial Services Reference Model v2.0</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
  <sheetViews>
    <sheetView zoomScale="80" zoomScaleNormal="80" workbookViewId="0">
      <pane ySplit="1" topLeftCell="A2" activePane="bottomLeft" state="frozen"/>
      <selection pane="bottomLeft"/>
    </sheetView>
  </sheetViews>
  <sheetFormatPr defaultColWidth="8.81640625" defaultRowHeight="14.5"/>
  <cols>
    <col min="1" max="1" width="11.26953125" style="95" customWidth="1"/>
    <col min="2" max="2" width="17.26953125" style="95" customWidth="1"/>
    <col min="3" max="3" width="51.36328125" style="95" customWidth="1"/>
    <col min="4" max="4" width="20" style="95" customWidth="1"/>
    <col min="5" max="5" width="17.453125" style="95" customWidth="1"/>
    <col min="6" max="6" width="19.54296875" style="95" customWidth="1"/>
    <col min="7" max="7" width="19" style="95" customWidth="1"/>
    <col min="8" max="8" width="50" style="95" customWidth="1"/>
    <col min="9" max="16384" width="8.81640625" style="95"/>
  </cols>
  <sheetData>
    <row r="1" spans="1:9" s="97" customFormat="1" ht="29">
      <c r="A1" s="96" t="s">
        <v>5</v>
      </c>
      <c r="B1" s="96" t="s">
        <v>10</v>
      </c>
      <c r="C1" s="96" t="s">
        <v>4</v>
      </c>
      <c r="D1" s="96" t="s">
        <v>9</v>
      </c>
      <c r="E1" s="96" t="s">
        <v>8</v>
      </c>
      <c r="F1" s="96" t="s">
        <v>6</v>
      </c>
      <c r="G1" s="96" t="s">
        <v>7</v>
      </c>
      <c r="H1" s="96" t="s">
        <v>11</v>
      </c>
    </row>
    <row r="2" spans="1:9" ht="87">
      <c r="A2" s="99" t="s">
        <v>3049</v>
      </c>
      <c r="B2" s="100"/>
      <c r="C2" s="99" t="s">
        <v>3286</v>
      </c>
      <c r="D2" s="99" t="s">
        <v>3288</v>
      </c>
      <c r="E2" s="91"/>
      <c r="F2" s="91"/>
      <c r="G2" s="91"/>
      <c r="H2" s="101" t="s">
        <v>3059</v>
      </c>
    </row>
    <row r="3" spans="1:9" ht="48" customHeight="1">
      <c r="A3" s="91"/>
      <c r="B3" s="159" t="s">
        <v>3050</v>
      </c>
      <c r="C3" s="159" t="s">
        <v>3197</v>
      </c>
      <c r="D3" s="91"/>
      <c r="E3" s="159" t="s">
        <v>3184</v>
      </c>
      <c r="F3" s="159" t="s">
        <v>3051</v>
      </c>
      <c r="G3" s="159" t="s">
        <v>3181</v>
      </c>
      <c r="H3" s="101" t="s">
        <v>3060</v>
      </c>
      <c r="I3" s="94"/>
    </row>
    <row r="4" spans="1:9" ht="62.5" customHeight="1">
      <c r="A4" s="91"/>
      <c r="B4" s="159" t="s">
        <v>3052</v>
      </c>
      <c r="C4" s="159" t="s">
        <v>3179</v>
      </c>
      <c r="D4" s="91"/>
      <c r="E4" s="159" t="s">
        <v>3053</v>
      </c>
      <c r="F4" s="159" t="s">
        <v>3180</v>
      </c>
      <c r="G4" s="159" t="s">
        <v>3182</v>
      </c>
      <c r="H4" s="101" t="s">
        <v>3183</v>
      </c>
      <c r="I4" s="94"/>
    </row>
    <row r="5" spans="1:9" ht="78.5" customHeight="1">
      <c r="A5" s="91"/>
      <c r="B5" s="159" t="s">
        <v>3054</v>
      </c>
      <c r="C5" s="159" t="s">
        <v>3185</v>
      </c>
      <c r="D5" s="91"/>
      <c r="E5" s="159" t="s">
        <v>3055</v>
      </c>
      <c r="F5" s="159" t="s">
        <v>3186</v>
      </c>
      <c r="G5" s="159" t="s">
        <v>3187</v>
      </c>
      <c r="H5" s="101" t="s">
        <v>3188</v>
      </c>
      <c r="I5" s="94"/>
    </row>
    <row r="6" spans="1:9" ht="60.5" customHeight="1">
      <c r="A6" s="91"/>
      <c r="B6" s="159" t="s">
        <v>3291</v>
      </c>
      <c r="C6" s="159" t="s">
        <v>3189</v>
      </c>
      <c r="D6" s="91"/>
      <c r="E6" s="159" t="s">
        <v>3056</v>
      </c>
      <c r="F6" s="159" t="s">
        <v>3057</v>
      </c>
      <c r="G6" s="159" t="s">
        <v>3190</v>
      </c>
      <c r="H6" s="101" t="s">
        <v>3058</v>
      </c>
      <c r="I6" s="94"/>
    </row>
    <row r="7" spans="1:9" ht="59" customHeight="1">
      <c r="A7" s="91"/>
      <c r="B7" s="159" t="s">
        <v>3292</v>
      </c>
      <c r="C7" s="159" t="s">
        <v>3293</v>
      </c>
      <c r="D7" s="91"/>
      <c r="E7" s="159" t="s">
        <v>3289</v>
      </c>
      <c r="F7" s="159" t="s">
        <v>3287</v>
      </c>
      <c r="G7" s="159" t="s">
        <v>3290</v>
      </c>
      <c r="H7" s="101" t="s">
        <v>3061</v>
      </c>
      <c r="I7" s="94"/>
    </row>
    <row r="9" spans="1:9">
      <c r="C9" s="98"/>
    </row>
  </sheetData>
  <pageMargins left="0.7" right="0.7" top="0.75" bottom="0.75" header="0.3" footer="0.3"/>
  <pageSetup fitToHeight="1000" orientation="landscape" r:id="rId1"/>
  <headerFooter>
    <oddHeader>&amp;L&amp;"-,Bold"&amp;12Business Architecture Guild(R) Mapping Templates v1.0</oddHeader>
    <oddFooter>&amp;R
&amp;"-,Bold"Copyright Business Architecture Guild 2018</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9"/>
  <sheetViews>
    <sheetView zoomScale="80" zoomScaleNormal="80" zoomScalePageLayoutView="110" workbookViewId="0"/>
  </sheetViews>
  <sheetFormatPr defaultColWidth="8.81640625" defaultRowHeight="15.5"/>
  <cols>
    <col min="1" max="1" width="17.1796875" style="65" customWidth="1"/>
    <col min="2" max="2" width="15.54296875" style="65" customWidth="1"/>
    <col min="3" max="3" width="50.54296875" style="65" customWidth="1"/>
    <col min="4" max="4" width="22.54296875" style="65" customWidth="1"/>
    <col min="5" max="5" width="19.54296875" style="65" customWidth="1"/>
    <col min="6" max="6" width="20.26953125" style="65" customWidth="1"/>
    <col min="7" max="7" width="22.54296875" style="65" customWidth="1"/>
    <col min="8" max="8" width="31.1796875" style="65" customWidth="1"/>
    <col min="9" max="16384" width="8.81640625" style="65"/>
  </cols>
  <sheetData>
    <row r="1" spans="1:9" s="64" customFormat="1" ht="31">
      <c r="A1" s="63" t="s">
        <v>5</v>
      </c>
      <c r="B1" s="63" t="s">
        <v>10</v>
      </c>
      <c r="C1" s="63" t="s">
        <v>4</v>
      </c>
      <c r="D1" s="63" t="s">
        <v>9</v>
      </c>
      <c r="E1" s="63" t="s">
        <v>8</v>
      </c>
      <c r="F1" s="63" t="s">
        <v>6</v>
      </c>
      <c r="G1" s="63" t="s">
        <v>7</v>
      </c>
      <c r="H1" s="63" t="s">
        <v>11</v>
      </c>
    </row>
    <row r="2" spans="1:9" ht="62">
      <c r="A2" s="80" t="s">
        <v>1744</v>
      </c>
      <c r="B2" s="81"/>
      <c r="C2" s="80" t="s">
        <v>1745</v>
      </c>
      <c r="D2" s="80" t="s">
        <v>2168</v>
      </c>
      <c r="E2" s="81"/>
      <c r="F2" s="81"/>
      <c r="G2" s="81"/>
      <c r="H2" s="80" t="s">
        <v>1746</v>
      </c>
    </row>
    <row r="3" spans="1:9" ht="62">
      <c r="A3" s="81"/>
      <c r="B3" s="80" t="s">
        <v>1747</v>
      </c>
      <c r="C3" s="80" t="s">
        <v>1748</v>
      </c>
      <c r="D3" s="81"/>
      <c r="E3" s="80" t="s">
        <v>1749</v>
      </c>
      <c r="F3" s="80" t="s">
        <v>1750</v>
      </c>
      <c r="G3" s="80" t="s">
        <v>2169</v>
      </c>
      <c r="H3" s="80" t="s">
        <v>1751</v>
      </c>
      <c r="I3" s="66"/>
    </row>
    <row r="4" spans="1:9" ht="62">
      <c r="A4" s="81"/>
      <c r="B4" s="80" t="s">
        <v>1752</v>
      </c>
      <c r="C4" s="80" t="s">
        <v>1753</v>
      </c>
      <c r="D4" s="81"/>
      <c r="E4" s="80" t="s">
        <v>1754</v>
      </c>
      <c r="F4" s="80" t="s">
        <v>1755</v>
      </c>
      <c r="G4" s="80" t="s">
        <v>2170</v>
      </c>
      <c r="H4" s="80" t="s">
        <v>1756</v>
      </c>
      <c r="I4" s="66"/>
    </row>
    <row r="5" spans="1:9" ht="46.5">
      <c r="A5" s="81"/>
      <c r="B5" s="80" t="s">
        <v>1757</v>
      </c>
      <c r="C5" s="80" t="s">
        <v>1758</v>
      </c>
      <c r="D5" s="81"/>
      <c r="E5" s="80" t="s">
        <v>1759</v>
      </c>
      <c r="F5" s="80" t="s">
        <v>1760</v>
      </c>
      <c r="G5" s="80" t="s">
        <v>2171</v>
      </c>
      <c r="H5" s="80" t="s">
        <v>1756</v>
      </c>
      <c r="I5" s="66"/>
    </row>
    <row r="6" spans="1:9" ht="31">
      <c r="A6" s="81"/>
      <c r="B6" s="80" t="s">
        <v>1761</v>
      </c>
      <c r="C6" s="80" t="s">
        <v>1762</v>
      </c>
      <c r="D6" s="81"/>
      <c r="E6" s="80" t="s">
        <v>1763</v>
      </c>
      <c r="F6" s="80" t="s">
        <v>1764</v>
      </c>
      <c r="G6" s="80" t="s">
        <v>2172</v>
      </c>
      <c r="H6" s="80" t="s">
        <v>1765</v>
      </c>
      <c r="I6" s="66"/>
    </row>
    <row r="7" spans="1:9" ht="62">
      <c r="A7" s="81"/>
      <c r="B7" s="80" t="s">
        <v>1766</v>
      </c>
      <c r="C7" s="80" t="s">
        <v>1767</v>
      </c>
      <c r="D7" s="81"/>
      <c r="E7" s="80" t="s">
        <v>1768</v>
      </c>
      <c r="F7" s="80" t="s">
        <v>1769</v>
      </c>
      <c r="G7" s="80" t="s">
        <v>2173</v>
      </c>
      <c r="H7" s="80" t="s">
        <v>1756</v>
      </c>
      <c r="I7" s="66"/>
    </row>
    <row r="9" spans="1:9">
      <c r="C9" s="67"/>
    </row>
  </sheetData>
  <pageMargins left="0.7" right="0.7" top="0.75" bottom="0.75" header="0.3" footer="0.3"/>
  <pageSetup fitToHeight="1000" orientation="landscape" r:id="rId1"/>
  <headerFooter>
    <oddFooter>&amp;LBusiness Architecture Guild Copyright 2019 &amp;RFinancial Services Reference Model v2.0</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9"/>
  <sheetViews>
    <sheetView zoomScale="80" zoomScaleNormal="80" zoomScalePageLayoutView="110" workbookViewId="0"/>
  </sheetViews>
  <sheetFormatPr defaultColWidth="8.81640625" defaultRowHeight="15.5"/>
  <cols>
    <col min="1" max="1" width="17.1796875" style="65" customWidth="1"/>
    <col min="2" max="2" width="15.54296875" style="65" customWidth="1"/>
    <col min="3" max="3" width="50.54296875" style="65" customWidth="1"/>
    <col min="4" max="4" width="31.453125" style="65" customWidth="1"/>
    <col min="5" max="5" width="19.54296875" style="65" customWidth="1"/>
    <col min="6" max="6" width="20.26953125" style="65" customWidth="1"/>
    <col min="7" max="7" width="22.54296875" style="65" customWidth="1"/>
    <col min="8" max="8" width="33.1796875" style="65" customWidth="1"/>
    <col min="9" max="16384" width="8.81640625" style="65"/>
  </cols>
  <sheetData>
    <row r="1" spans="1:9" s="64" customFormat="1" ht="31">
      <c r="A1" s="63" t="s">
        <v>5</v>
      </c>
      <c r="B1" s="63" t="s">
        <v>10</v>
      </c>
      <c r="C1" s="63" t="s">
        <v>4</v>
      </c>
      <c r="D1" s="63" t="s">
        <v>9</v>
      </c>
      <c r="E1" s="63" t="s">
        <v>8</v>
      </c>
      <c r="F1" s="63" t="s">
        <v>6</v>
      </c>
      <c r="G1" s="63" t="s">
        <v>7</v>
      </c>
      <c r="H1" s="63" t="s">
        <v>11</v>
      </c>
    </row>
    <row r="2" spans="1:9" ht="102.75" customHeight="1">
      <c r="A2" s="80" t="s">
        <v>1231</v>
      </c>
      <c r="B2" s="81"/>
      <c r="C2" s="80" t="s">
        <v>2188</v>
      </c>
      <c r="D2" s="80" t="s">
        <v>2189</v>
      </c>
      <c r="E2" s="81"/>
      <c r="F2" s="81"/>
      <c r="G2" s="81"/>
      <c r="H2" s="80" t="s">
        <v>1254</v>
      </c>
    </row>
    <row r="3" spans="1:9" ht="46.5">
      <c r="A3" s="81"/>
      <c r="B3" s="80" t="s">
        <v>1235</v>
      </c>
      <c r="C3" s="80" t="s">
        <v>1233</v>
      </c>
      <c r="D3" s="81"/>
      <c r="E3" s="80" t="s">
        <v>1240</v>
      </c>
      <c r="F3" s="80" t="s">
        <v>1241</v>
      </c>
      <c r="G3" s="80" t="s">
        <v>2174</v>
      </c>
      <c r="H3" s="80" t="s">
        <v>1242</v>
      </c>
      <c r="I3" s="66"/>
    </row>
    <row r="4" spans="1:9" ht="62">
      <c r="A4" s="81"/>
      <c r="B4" s="80" t="s">
        <v>1239</v>
      </c>
      <c r="C4" s="80" t="s">
        <v>1234</v>
      </c>
      <c r="D4" s="81"/>
      <c r="E4" s="80" t="s">
        <v>1243</v>
      </c>
      <c r="F4" s="80" t="s">
        <v>1244</v>
      </c>
      <c r="G4" s="80" t="s">
        <v>3191</v>
      </c>
      <c r="H4" s="80" t="s">
        <v>1245</v>
      </c>
      <c r="I4" s="66"/>
    </row>
    <row r="5" spans="1:9" ht="46.5">
      <c r="A5" s="81"/>
      <c r="B5" s="80" t="s">
        <v>1236</v>
      </c>
      <c r="C5" s="80" t="s">
        <v>3192</v>
      </c>
      <c r="D5" s="81"/>
      <c r="E5" s="80" t="s">
        <v>1246</v>
      </c>
      <c r="F5" s="80" t="s">
        <v>1247</v>
      </c>
      <c r="G5" s="80" t="s">
        <v>2175</v>
      </c>
      <c r="H5" s="80" t="s">
        <v>1248</v>
      </c>
      <c r="I5" s="66"/>
    </row>
    <row r="6" spans="1:9" ht="62">
      <c r="A6" s="81"/>
      <c r="B6" s="82" t="s">
        <v>1237</v>
      </c>
      <c r="C6" s="82" t="s">
        <v>2176</v>
      </c>
      <c r="D6" s="81"/>
      <c r="E6" s="82" t="s">
        <v>1412</v>
      </c>
      <c r="F6" s="82" t="s">
        <v>1250</v>
      </c>
      <c r="G6" s="82" t="s">
        <v>2177</v>
      </c>
      <c r="H6" s="82" t="s">
        <v>1249</v>
      </c>
      <c r="I6" s="66"/>
    </row>
    <row r="7" spans="1:9" ht="62">
      <c r="A7" s="81"/>
      <c r="B7" s="80" t="s">
        <v>1238</v>
      </c>
      <c r="C7" s="80" t="s">
        <v>1232</v>
      </c>
      <c r="D7" s="81"/>
      <c r="E7" s="80" t="s">
        <v>1251</v>
      </c>
      <c r="F7" s="80" t="s">
        <v>1252</v>
      </c>
      <c r="G7" s="80" t="s">
        <v>2178</v>
      </c>
      <c r="H7" s="80" t="s">
        <v>1253</v>
      </c>
      <c r="I7" s="66"/>
    </row>
    <row r="9" spans="1:9">
      <c r="C9" s="67"/>
    </row>
  </sheetData>
  <pageMargins left="0.7" right="0.7" top="0.75" bottom="0.75" header="0.3" footer="0.3"/>
  <pageSetup fitToHeight="1000" orientation="landscape" r:id="rId1"/>
  <headerFooter>
    <oddFooter>&amp;LBusiness Architecture Guild Copyright 2019 &amp;RFinancial Services Reference Model v2.0</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zoomScale="80" zoomScaleNormal="80" zoomScalePageLayoutView="110" workbookViewId="0">
      <selection sqref="A1:H7"/>
    </sheetView>
  </sheetViews>
  <sheetFormatPr defaultColWidth="8.7265625" defaultRowHeight="15.5"/>
  <cols>
    <col min="1" max="1" width="17.1796875" style="32" customWidth="1"/>
    <col min="2" max="2" width="16" style="32" customWidth="1"/>
    <col min="3" max="3" width="50.54296875" style="32" customWidth="1"/>
    <col min="4" max="4" width="22.54296875" style="32" customWidth="1"/>
    <col min="5" max="5" width="15.7265625" style="32" customWidth="1"/>
    <col min="6" max="6" width="20.26953125" style="32" customWidth="1"/>
    <col min="7" max="7" width="22.54296875" style="32" customWidth="1"/>
    <col min="8" max="8" width="31.453125" style="32" customWidth="1"/>
    <col min="9" max="16384" width="8.7265625" style="32"/>
  </cols>
  <sheetData>
    <row r="1" spans="1:8" s="70" customFormat="1" ht="31">
      <c r="A1" s="68" t="s">
        <v>5</v>
      </c>
      <c r="B1" s="68" t="s">
        <v>10</v>
      </c>
      <c r="C1" s="68" t="s">
        <v>4</v>
      </c>
      <c r="D1" s="68" t="s">
        <v>9</v>
      </c>
      <c r="E1" s="68" t="s">
        <v>8</v>
      </c>
      <c r="F1" s="68" t="s">
        <v>6</v>
      </c>
      <c r="G1" s="68" t="s">
        <v>7</v>
      </c>
      <c r="H1" s="69" t="s">
        <v>11</v>
      </c>
    </row>
    <row r="2" spans="1:8" ht="62">
      <c r="A2" s="71" t="s">
        <v>1061</v>
      </c>
      <c r="B2" s="72"/>
      <c r="C2" s="74" t="s">
        <v>1062</v>
      </c>
      <c r="D2" s="71" t="s">
        <v>1992</v>
      </c>
      <c r="E2" s="72"/>
      <c r="F2" s="72"/>
      <c r="G2" s="72"/>
      <c r="H2" s="79" t="s">
        <v>1428</v>
      </c>
    </row>
    <row r="3" spans="1:8" ht="31">
      <c r="A3" s="72"/>
      <c r="B3" s="71" t="s">
        <v>1429</v>
      </c>
      <c r="C3" s="74" t="s">
        <v>1430</v>
      </c>
      <c r="D3" s="72"/>
      <c r="E3" s="74" t="s">
        <v>1431</v>
      </c>
      <c r="F3" s="74" t="s">
        <v>1432</v>
      </c>
      <c r="G3" s="74" t="s">
        <v>1993</v>
      </c>
      <c r="H3" s="74" t="s">
        <v>1433</v>
      </c>
    </row>
    <row r="4" spans="1:8" ht="46.5">
      <c r="A4" s="72"/>
      <c r="B4" s="74" t="s">
        <v>1434</v>
      </c>
      <c r="C4" s="74" t="s">
        <v>1801</v>
      </c>
      <c r="D4" s="72"/>
      <c r="E4" s="74" t="s">
        <v>1432</v>
      </c>
      <c r="F4" s="74" t="s">
        <v>1435</v>
      </c>
      <c r="G4" s="74" t="s">
        <v>1994</v>
      </c>
      <c r="H4" s="74" t="s">
        <v>1436</v>
      </c>
    </row>
    <row r="5" spans="1:8" ht="46.5">
      <c r="A5" s="72"/>
      <c r="B5" s="71" t="s">
        <v>1437</v>
      </c>
      <c r="C5" s="74" t="s">
        <v>1438</v>
      </c>
      <c r="D5" s="72"/>
      <c r="E5" s="74" t="s">
        <v>1435</v>
      </c>
      <c r="F5" s="74" t="s">
        <v>1439</v>
      </c>
      <c r="G5" s="74" t="s">
        <v>1995</v>
      </c>
      <c r="H5" s="74" t="s">
        <v>1440</v>
      </c>
    </row>
    <row r="6" spans="1:8" ht="31">
      <c r="A6" s="72"/>
      <c r="B6" s="74" t="s">
        <v>1441</v>
      </c>
      <c r="C6" s="74" t="s">
        <v>1802</v>
      </c>
      <c r="D6" s="72"/>
      <c r="E6" s="74" t="s">
        <v>1439</v>
      </c>
      <c r="F6" s="74" t="s">
        <v>1442</v>
      </c>
      <c r="G6" s="74" t="s">
        <v>1996</v>
      </c>
      <c r="H6" s="74" t="s">
        <v>1443</v>
      </c>
    </row>
    <row r="7" spans="1:8" ht="46.5">
      <c r="A7" s="72"/>
      <c r="B7" s="71" t="s">
        <v>1444</v>
      </c>
      <c r="C7" s="74" t="s">
        <v>1803</v>
      </c>
      <c r="D7" s="72"/>
      <c r="E7" s="74" t="s">
        <v>1442</v>
      </c>
      <c r="F7" s="74" t="s">
        <v>1445</v>
      </c>
      <c r="G7" s="74" t="s">
        <v>1997</v>
      </c>
      <c r="H7" s="74" t="s">
        <v>1446</v>
      </c>
    </row>
    <row r="8" spans="1:8">
      <c r="A8" s="65"/>
      <c r="B8" s="65"/>
      <c r="C8" s="65"/>
      <c r="D8" s="65"/>
      <c r="E8" s="65"/>
      <c r="F8" s="65"/>
      <c r="G8" s="65"/>
      <c r="H8" s="65"/>
    </row>
    <row r="9" spans="1:8">
      <c r="A9" s="65"/>
      <c r="B9" s="65"/>
      <c r="C9" s="67"/>
      <c r="D9" s="65"/>
      <c r="E9" s="65"/>
      <c r="F9" s="65"/>
      <c r="G9" s="65"/>
      <c r="H9" s="65"/>
    </row>
    <row r="10" spans="1:8">
      <c r="A10" s="65"/>
      <c r="B10" s="65"/>
      <c r="C10" s="65"/>
      <c r="D10" s="65"/>
      <c r="E10" s="65"/>
      <c r="F10" s="65"/>
      <c r="G10" s="65"/>
      <c r="H10" s="65"/>
    </row>
    <row r="11" spans="1:8">
      <c r="A11" s="65"/>
      <c r="B11" s="65"/>
      <c r="C11" s="65"/>
      <c r="D11" s="65"/>
      <c r="E11" s="65"/>
      <c r="F11" s="65"/>
      <c r="G11" s="65"/>
      <c r="H11" s="65"/>
    </row>
    <row r="12" spans="1:8">
      <c r="A12" s="65"/>
      <c r="B12" s="65"/>
      <c r="C12" s="65"/>
      <c r="D12" s="65"/>
      <c r="E12" s="65"/>
      <c r="F12" s="65"/>
      <c r="G12" s="65"/>
      <c r="H12" s="65"/>
    </row>
    <row r="13" spans="1:8">
      <c r="A13" s="65"/>
      <c r="B13" s="65"/>
      <c r="C13" s="65"/>
      <c r="D13" s="65"/>
      <c r="E13" s="65"/>
      <c r="F13" s="65"/>
      <c r="G13" s="65"/>
      <c r="H13" s="65"/>
    </row>
    <row r="14" spans="1:8">
      <c r="A14" s="65"/>
      <c r="B14" s="65"/>
      <c r="C14" s="65"/>
      <c r="D14" s="65"/>
      <c r="E14" s="65"/>
      <c r="F14" s="65"/>
      <c r="G14" s="65"/>
      <c r="H14" s="65"/>
    </row>
    <row r="15" spans="1:8">
      <c r="A15" s="65"/>
      <c r="B15" s="65"/>
      <c r="C15" s="65"/>
      <c r="D15" s="65"/>
      <c r="E15" s="65"/>
      <c r="F15" s="65"/>
      <c r="G15" s="65"/>
      <c r="H15" s="65"/>
    </row>
    <row r="16" spans="1:8">
      <c r="A16" s="65"/>
      <c r="B16" s="65"/>
      <c r="C16" s="65"/>
      <c r="D16" s="65"/>
      <c r="E16" s="65"/>
      <c r="F16" s="65"/>
      <c r="G16" s="65"/>
      <c r="H16" s="65"/>
    </row>
    <row r="17" spans="1:8">
      <c r="A17" s="65"/>
      <c r="B17" s="65"/>
      <c r="C17" s="65"/>
      <c r="D17" s="65"/>
      <c r="E17" s="65"/>
      <c r="F17" s="65"/>
      <c r="G17" s="65"/>
      <c r="H17" s="65"/>
    </row>
  </sheetData>
  <pageMargins left="0.7" right="0.7" top="0.75" bottom="0.75" header="0.3" footer="0.3"/>
  <pageSetup fitToHeight="1000" orientation="landscape" r:id="rId1"/>
  <headerFooter>
    <oddFooter>&amp;LBusiness Architecture Guild Copyright 2019 &amp;RFinancial Services Reference Model v2.0</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7"/>
  <sheetViews>
    <sheetView zoomScale="80" zoomScaleNormal="80" zoomScalePageLayoutView="110" workbookViewId="0"/>
  </sheetViews>
  <sheetFormatPr defaultColWidth="8.7265625" defaultRowHeight="15.5"/>
  <cols>
    <col min="1" max="1" width="17.1796875" style="32" customWidth="1"/>
    <col min="2" max="2" width="16" style="32" customWidth="1"/>
    <col min="3" max="3" width="45.26953125" style="32" customWidth="1"/>
    <col min="4" max="4" width="25.7265625" style="32" customWidth="1"/>
    <col min="5" max="5" width="17.7265625" style="32" customWidth="1"/>
    <col min="6" max="6" width="20.26953125" style="32" customWidth="1"/>
    <col min="7" max="7" width="22.54296875" style="32" customWidth="1"/>
    <col min="8" max="8" width="25.7265625" style="32" customWidth="1"/>
    <col min="9" max="16384" width="8.7265625" style="32"/>
  </cols>
  <sheetData>
    <row r="1" spans="1:8" s="70" customFormat="1" ht="31">
      <c r="A1" s="68" t="s">
        <v>5</v>
      </c>
      <c r="B1" s="68" t="s">
        <v>10</v>
      </c>
      <c r="C1" s="68" t="s">
        <v>4</v>
      </c>
      <c r="D1" s="68" t="s">
        <v>9</v>
      </c>
      <c r="E1" s="68" t="s">
        <v>8</v>
      </c>
      <c r="F1" s="68" t="s">
        <v>6</v>
      </c>
      <c r="G1" s="68" t="s">
        <v>7</v>
      </c>
      <c r="H1" s="69" t="s">
        <v>11</v>
      </c>
    </row>
    <row r="2" spans="1:8" ht="66" customHeight="1">
      <c r="A2" s="71" t="s">
        <v>1063</v>
      </c>
      <c r="B2" s="72"/>
      <c r="C2" s="74" t="s">
        <v>1064</v>
      </c>
      <c r="D2" s="74" t="s">
        <v>1804</v>
      </c>
      <c r="E2" s="72"/>
      <c r="F2" s="72"/>
      <c r="G2" s="72"/>
      <c r="H2" s="74" t="s">
        <v>1447</v>
      </c>
    </row>
    <row r="3" spans="1:8" ht="31">
      <c r="A3" s="72"/>
      <c r="B3" s="74" t="s">
        <v>1448</v>
      </c>
      <c r="C3" s="74" t="s">
        <v>1449</v>
      </c>
      <c r="D3" s="72"/>
      <c r="E3" s="74" t="s">
        <v>1450</v>
      </c>
      <c r="F3" s="74" t="s">
        <v>1451</v>
      </c>
      <c r="G3" s="74" t="s">
        <v>1998</v>
      </c>
      <c r="H3" s="74" t="s">
        <v>1447</v>
      </c>
    </row>
    <row r="4" spans="1:8" ht="31">
      <c r="A4" s="72"/>
      <c r="B4" s="74" t="s">
        <v>1452</v>
      </c>
      <c r="C4" s="74" t="s">
        <v>1805</v>
      </c>
      <c r="D4" s="72"/>
      <c r="E4" s="74" t="s">
        <v>1451</v>
      </c>
      <c r="F4" s="74" t="s">
        <v>1453</v>
      </c>
      <c r="G4" s="74" t="s">
        <v>1999</v>
      </c>
      <c r="H4" s="74" t="s">
        <v>1454</v>
      </c>
    </row>
    <row r="5" spans="1:8" ht="31">
      <c r="A5" s="72"/>
      <c r="B5" s="74" t="s">
        <v>1455</v>
      </c>
      <c r="C5" s="74" t="s">
        <v>1456</v>
      </c>
      <c r="D5" s="72"/>
      <c r="E5" s="74" t="s">
        <v>1453</v>
      </c>
      <c r="F5" s="74" t="s">
        <v>1457</v>
      </c>
      <c r="G5" s="74" t="s">
        <v>2000</v>
      </c>
      <c r="H5" s="74" t="s">
        <v>1454</v>
      </c>
    </row>
    <row r="6" spans="1:8" ht="31">
      <c r="A6" s="72"/>
      <c r="B6" s="74" t="s">
        <v>1458</v>
      </c>
      <c r="C6" s="74" t="s">
        <v>1459</v>
      </c>
      <c r="D6" s="72"/>
      <c r="E6" s="74" t="s">
        <v>1457</v>
      </c>
      <c r="F6" s="74" t="s">
        <v>1460</v>
      </c>
      <c r="G6" s="74" t="s">
        <v>2001</v>
      </c>
      <c r="H6" s="74" t="s">
        <v>1454</v>
      </c>
    </row>
    <row r="7" spans="1:8" ht="31">
      <c r="A7" s="72"/>
      <c r="B7" s="74" t="s">
        <v>1461</v>
      </c>
      <c r="C7" s="74" t="s">
        <v>1462</v>
      </c>
      <c r="D7" s="72"/>
      <c r="E7" s="74" t="s">
        <v>1460</v>
      </c>
      <c r="F7" s="73" t="s">
        <v>1463</v>
      </c>
      <c r="G7" s="73" t="s">
        <v>2002</v>
      </c>
      <c r="H7" s="74" t="s">
        <v>1464</v>
      </c>
    </row>
    <row r="8" spans="1:8" ht="31">
      <c r="A8" s="72"/>
      <c r="B8" s="74" t="s">
        <v>1465</v>
      </c>
      <c r="C8" s="74" t="s">
        <v>1466</v>
      </c>
      <c r="D8" s="72"/>
      <c r="E8" s="74" t="s">
        <v>1463</v>
      </c>
      <c r="F8" s="74" t="s">
        <v>1467</v>
      </c>
      <c r="G8" s="74" t="s">
        <v>2003</v>
      </c>
      <c r="H8" s="74" t="s">
        <v>1468</v>
      </c>
    </row>
    <row r="9" spans="1:8">
      <c r="A9" s="65"/>
      <c r="B9" s="65"/>
      <c r="C9" s="67"/>
      <c r="D9" s="65"/>
      <c r="E9" s="65"/>
      <c r="F9" s="65"/>
      <c r="G9" s="65"/>
      <c r="H9" s="65"/>
    </row>
    <row r="10" spans="1:8">
      <c r="A10" s="65"/>
      <c r="B10" s="65"/>
      <c r="C10" s="65"/>
      <c r="D10" s="65"/>
      <c r="E10" s="65"/>
      <c r="F10" s="65"/>
      <c r="G10" s="65"/>
      <c r="H10" s="65"/>
    </row>
    <row r="11" spans="1:8">
      <c r="A11" s="65"/>
      <c r="B11" s="65"/>
      <c r="C11" s="65"/>
      <c r="D11" s="65"/>
      <c r="E11" s="65"/>
      <c r="F11" s="65"/>
      <c r="G11" s="65"/>
      <c r="H11" s="65"/>
    </row>
    <row r="12" spans="1:8">
      <c r="A12" s="65"/>
      <c r="B12" s="65"/>
      <c r="C12" s="65"/>
      <c r="D12" s="65"/>
      <c r="E12" s="65"/>
      <c r="F12" s="65"/>
      <c r="G12" s="65"/>
      <c r="H12" s="65"/>
    </row>
    <row r="13" spans="1:8">
      <c r="A13" s="65"/>
      <c r="B13" s="65"/>
      <c r="C13" s="65"/>
      <c r="D13" s="65"/>
      <c r="E13" s="65"/>
      <c r="F13" s="65"/>
      <c r="G13" s="65"/>
      <c r="H13" s="65"/>
    </row>
    <row r="14" spans="1:8">
      <c r="A14" s="65"/>
      <c r="B14" s="65"/>
      <c r="C14" s="65"/>
      <c r="D14" s="65"/>
      <c r="E14" s="65"/>
      <c r="F14" s="65"/>
      <c r="G14" s="65"/>
      <c r="H14" s="65"/>
    </row>
    <row r="15" spans="1:8">
      <c r="A15" s="65"/>
      <c r="B15" s="65"/>
      <c r="C15" s="65"/>
      <c r="D15" s="65"/>
      <c r="E15" s="65"/>
      <c r="F15" s="65"/>
      <c r="G15" s="65"/>
      <c r="H15" s="65"/>
    </row>
    <row r="16" spans="1:8">
      <c r="A16" s="65"/>
      <c r="B16" s="65"/>
      <c r="C16" s="65"/>
      <c r="D16" s="65"/>
      <c r="E16" s="65"/>
      <c r="F16" s="65"/>
      <c r="G16" s="65"/>
      <c r="H16" s="65"/>
    </row>
    <row r="17" spans="1:8">
      <c r="A17" s="65"/>
      <c r="B17" s="65"/>
      <c r="C17" s="65"/>
      <c r="D17" s="65"/>
      <c r="E17" s="65"/>
      <c r="F17" s="65"/>
      <c r="G17" s="65"/>
      <c r="H17" s="65"/>
    </row>
  </sheetData>
  <pageMargins left="0.7" right="0.7" top="0.75" bottom="0.75" header="0.3" footer="0.3"/>
  <pageSetup orientation="landscape" r:id="rId1"/>
  <headerFooter>
    <oddFooter>&amp;LBusiness Architecture Guild Copyright 2019 &amp;RFinancial Services Reference Model v2.0</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7"/>
  <sheetViews>
    <sheetView zoomScale="80" zoomScaleNormal="80" zoomScalePageLayoutView="110" workbookViewId="0"/>
  </sheetViews>
  <sheetFormatPr defaultColWidth="12.26953125" defaultRowHeight="15.5"/>
  <cols>
    <col min="1" max="1" width="15.1796875" style="78" customWidth="1"/>
    <col min="2" max="2" width="16" style="78" customWidth="1"/>
    <col min="3" max="3" width="49.6328125" style="78" customWidth="1"/>
    <col min="4" max="4" width="22.54296875" style="78" customWidth="1"/>
    <col min="5" max="5" width="16.7265625" style="78" customWidth="1"/>
    <col min="6" max="6" width="18.54296875" style="78" customWidth="1"/>
    <col min="7" max="7" width="19.7265625" style="78" customWidth="1"/>
    <col min="8" max="8" width="35.54296875" style="78" customWidth="1"/>
    <col min="9" max="16384" width="12.26953125" style="78"/>
  </cols>
  <sheetData>
    <row r="1" spans="1:8" ht="31">
      <c r="A1" s="63" t="s">
        <v>5</v>
      </c>
      <c r="B1" s="63" t="s">
        <v>10</v>
      </c>
      <c r="C1" s="63" t="s">
        <v>4</v>
      </c>
      <c r="D1" s="63" t="s">
        <v>9</v>
      </c>
      <c r="E1" s="63" t="s">
        <v>8</v>
      </c>
      <c r="F1" s="63" t="s">
        <v>6</v>
      </c>
      <c r="G1" s="63" t="s">
        <v>7</v>
      </c>
      <c r="H1" s="130" t="s">
        <v>11</v>
      </c>
    </row>
    <row r="2" spans="1:8" ht="44" thickBot="1">
      <c r="A2" s="113" t="s">
        <v>3232</v>
      </c>
      <c r="B2" s="126"/>
      <c r="C2" s="113" t="s">
        <v>3233</v>
      </c>
      <c r="D2" s="113" t="s">
        <v>3234</v>
      </c>
      <c r="E2" s="126"/>
      <c r="F2" s="126"/>
      <c r="G2" s="126"/>
      <c r="H2" s="127" t="s">
        <v>1428</v>
      </c>
    </row>
    <row r="3" spans="1:8" ht="46" customHeight="1" thickBot="1">
      <c r="A3" s="128"/>
      <c r="B3" s="113" t="s">
        <v>3235</v>
      </c>
      <c r="C3" s="113" t="s">
        <v>3236</v>
      </c>
      <c r="D3" s="128"/>
      <c r="E3" s="113" t="s">
        <v>3237</v>
      </c>
      <c r="F3" s="113" t="s">
        <v>3238</v>
      </c>
      <c r="G3" s="157" t="s">
        <v>3239</v>
      </c>
      <c r="H3" s="129" t="s">
        <v>1433</v>
      </c>
    </row>
    <row r="4" spans="1:8" ht="58.5" thickBot="1">
      <c r="A4" s="128"/>
      <c r="B4" s="113" t="s">
        <v>3240</v>
      </c>
      <c r="C4" s="113" t="s">
        <v>3241</v>
      </c>
      <c r="D4" s="128"/>
      <c r="E4" s="113" t="s">
        <v>3242</v>
      </c>
      <c r="F4" s="113" t="s">
        <v>3243</v>
      </c>
      <c r="G4" s="158" t="s">
        <v>3244</v>
      </c>
      <c r="H4" s="129" t="s">
        <v>1436</v>
      </c>
    </row>
    <row r="5" spans="1:8" ht="29.5" thickBot="1">
      <c r="A5" s="128"/>
      <c r="B5" s="113" t="s">
        <v>3245</v>
      </c>
      <c r="C5" s="113" t="s">
        <v>3246</v>
      </c>
      <c r="D5" s="128"/>
      <c r="E5" s="113" t="s">
        <v>3247</v>
      </c>
      <c r="F5" s="113" t="s">
        <v>3248</v>
      </c>
      <c r="G5" s="158" t="s">
        <v>3249</v>
      </c>
      <c r="H5" s="129" t="s">
        <v>1440</v>
      </c>
    </row>
    <row r="6" spans="1:8" ht="32" customHeight="1" thickBot="1">
      <c r="A6" s="128"/>
      <c r="B6" s="113" t="s">
        <v>3250</v>
      </c>
      <c r="C6" s="113" t="s">
        <v>3251</v>
      </c>
      <c r="D6" s="128"/>
      <c r="E6" s="113" t="s">
        <v>1469</v>
      </c>
      <c r="F6" s="113" t="s">
        <v>3252</v>
      </c>
      <c r="G6" s="158" t="s">
        <v>3284</v>
      </c>
      <c r="H6" s="129" t="s">
        <v>1443</v>
      </c>
    </row>
    <row r="7" spans="1:8" ht="73" thickBot="1">
      <c r="A7" s="128"/>
      <c r="B7" s="113" t="s">
        <v>3253</v>
      </c>
      <c r="C7" s="113" t="s">
        <v>3254</v>
      </c>
      <c r="D7" s="128"/>
      <c r="E7" s="113" t="s">
        <v>3255</v>
      </c>
      <c r="F7" s="113" t="s">
        <v>3256</v>
      </c>
      <c r="G7" s="158" t="s">
        <v>3285</v>
      </c>
      <c r="H7" s="129" t="s">
        <v>1446</v>
      </c>
    </row>
  </sheetData>
  <pageMargins left="0.7" right="0.7" top="0.75" bottom="0.75" header="0.3" footer="0.3"/>
  <pageSetup orientation="portrait" r:id="rId1"/>
  <headerFooter>
    <oddFooter>&amp;LBusiness Architecture Guild Copyright 2019 &amp;RFinancial Services Reference Model v2.0</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7"/>
  <sheetViews>
    <sheetView zoomScale="80" zoomScaleNormal="80" zoomScalePageLayoutView="110" workbookViewId="0"/>
  </sheetViews>
  <sheetFormatPr defaultColWidth="8.7265625" defaultRowHeight="15.5"/>
  <cols>
    <col min="1" max="1" width="15.453125" style="32" customWidth="1"/>
    <col min="2" max="2" width="17.36328125" style="32" customWidth="1"/>
    <col min="3" max="3" width="42" style="32" customWidth="1"/>
    <col min="4" max="4" width="26.08984375" style="32" customWidth="1"/>
    <col min="5" max="5" width="19.453125" style="32" customWidth="1"/>
    <col min="6" max="6" width="20.26953125" style="32" customWidth="1"/>
    <col min="7" max="7" width="22.54296875" style="32" customWidth="1"/>
    <col min="8" max="8" width="30.7265625" style="32" customWidth="1"/>
    <col min="9" max="16384" width="8.7265625" style="32"/>
  </cols>
  <sheetData>
    <row r="1" spans="1:8" s="70" customFormat="1" ht="31">
      <c r="A1" s="68" t="s">
        <v>5</v>
      </c>
      <c r="B1" s="68" t="s">
        <v>10</v>
      </c>
      <c r="C1" s="68" t="s">
        <v>4</v>
      </c>
      <c r="D1" s="68" t="s">
        <v>9</v>
      </c>
      <c r="E1" s="68" t="s">
        <v>8</v>
      </c>
      <c r="F1" s="68" t="s">
        <v>6</v>
      </c>
      <c r="G1" s="68" t="s">
        <v>7</v>
      </c>
      <c r="H1" s="69" t="s">
        <v>11</v>
      </c>
    </row>
    <row r="2" spans="1:8" ht="85.5" customHeight="1">
      <c r="A2" s="71" t="s">
        <v>2004</v>
      </c>
      <c r="B2" s="72"/>
      <c r="C2" s="77" t="s">
        <v>1065</v>
      </c>
      <c r="D2" s="73" t="s">
        <v>2005</v>
      </c>
      <c r="E2" s="72"/>
      <c r="F2" s="72"/>
      <c r="G2" s="72"/>
      <c r="H2" s="73" t="s">
        <v>1470</v>
      </c>
    </row>
    <row r="3" spans="1:8" ht="31">
      <c r="A3" s="72"/>
      <c r="B3" s="74" t="s">
        <v>1471</v>
      </c>
      <c r="C3" s="77" t="s">
        <v>1472</v>
      </c>
      <c r="D3" s="72"/>
      <c r="E3" s="73" t="s">
        <v>1473</v>
      </c>
      <c r="F3" s="73" t="s">
        <v>1474</v>
      </c>
      <c r="G3" s="73" t="s">
        <v>2006</v>
      </c>
      <c r="H3" s="73" t="s">
        <v>1475</v>
      </c>
    </row>
    <row r="4" spans="1:8" ht="31">
      <c r="A4" s="72"/>
      <c r="B4" s="73" t="s">
        <v>1476</v>
      </c>
      <c r="C4" s="77" t="s">
        <v>1477</v>
      </c>
      <c r="D4" s="72"/>
      <c r="E4" s="73" t="s">
        <v>1474</v>
      </c>
      <c r="F4" s="73" t="s">
        <v>1478</v>
      </c>
      <c r="G4" s="73" t="s">
        <v>2007</v>
      </c>
      <c r="H4" s="73" t="s">
        <v>1475</v>
      </c>
    </row>
    <row r="5" spans="1:8" ht="31">
      <c r="A5" s="72"/>
      <c r="B5" s="73" t="s">
        <v>1479</v>
      </c>
      <c r="C5" s="77" t="s">
        <v>1480</v>
      </c>
      <c r="D5" s="72"/>
      <c r="E5" s="73" t="s">
        <v>1478</v>
      </c>
      <c r="F5" s="73" t="s">
        <v>1481</v>
      </c>
      <c r="G5" s="73" t="s">
        <v>2008</v>
      </c>
      <c r="H5" s="73" t="s">
        <v>1482</v>
      </c>
    </row>
    <row r="6" spans="1:8" ht="31">
      <c r="A6" s="72"/>
      <c r="B6" s="71" t="s">
        <v>1483</v>
      </c>
      <c r="C6" s="77" t="s">
        <v>2009</v>
      </c>
      <c r="D6" s="72"/>
      <c r="E6" s="73" t="s">
        <v>1481</v>
      </c>
      <c r="F6" s="73" t="s">
        <v>1484</v>
      </c>
      <c r="G6" s="73" t="s">
        <v>2010</v>
      </c>
      <c r="H6" s="73" t="s">
        <v>1485</v>
      </c>
    </row>
    <row r="7" spans="1:8" ht="46.5">
      <c r="A7" s="72"/>
      <c r="B7" s="71" t="s">
        <v>1486</v>
      </c>
      <c r="C7" s="77" t="s">
        <v>1487</v>
      </c>
      <c r="D7" s="72"/>
      <c r="E7" s="73" t="s">
        <v>1484</v>
      </c>
      <c r="F7" s="73" t="s">
        <v>1488</v>
      </c>
      <c r="G7" s="73" t="s">
        <v>2011</v>
      </c>
      <c r="H7" s="73" t="s">
        <v>1489</v>
      </c>
    </row>
    <row r="8" spans="1:8" ht="55" customHeight="1">
      <c r="A8" s="72"/>
      <c r="B8" s="74" t="s">
        <v>1490</v>
      </c>
      <c r="C8" s="77" t="s">
        <v>1491</v>
      </c>
      <c r="D8" s="72"/>
      <c r="E8" s="73" t="s">
        <v>1488</v>
      </c>
      <c r="F8" s="73" t="s">
        <v>1492</v>
      </c>
      <c r="G8" s="73" t="s">
        <v>2012</v>
      </c>
      <c r="H8" s="73" t="s">
        <v>1493</v>
      </c>
    </row>
    <row r="9" spans="1:8">
      <c r="A9" s="65"/>
      <c r="B9" s="65"/>
      <c r="C9" s="67"/>
      <c r="D9" s="65"/>
      <c r="E9" s="65"/>
      <c r="F9" s="65"/>
      <c r="G9" s="65"/>
      <c r="H9" s="65"/>
    </row>
    <row r="10" spans="1:8">
      <c r="A10" s="65"/>
      <c r="B10" s="65"/>
      <c r="C10" s="65"/>
      <c r="D10" s="65"/>
      <c r="E10" s="65"/>
      <c r="F10" s="65"/>
      <c r="G10" s="65"/>
      <c r="H10" s="65"/>
    </row>
    <row r="11" spans="1:8">
      <c r="A11" s="65"/>
      <c r="B11" s="65"/>
      <c r="C11" s="65"/>
      <c r="D11" s="65"/>
      <c r="E11" s="65"/>
      <c r="F11" s="65"/>
      <c r="G11" s="65"/>
      <c r="H11" s="65"/>
    </row>
    <row r="12" spans="1:8">
      <c r="A12" s="65"/>
      <c r="B12" s="65"/>
      <c r="C12" s="65"/>
      <c r="D12" s="65"/>
      <c r="E12" s="65"/>
      <c r="F12" s="65"/>
      <c r="G12" s="65"/>
      <c r="H12" s="65"/>
    </row>
    <row r="13" spans="1:8">
      <c r="A13" s="65"/>
      <c r="B13" s="65"/>
      <c r="C13" s="65"/>
      <c r="D13" s="65"/>
      <c r="E13" s="65"/>
      <c r="F13" s="65"/>
      <c r="G13" s="65"/>
      <c r="H13" s="65"/>
    </row>
    <row r="14" spans="1:8">
      <c r="A14" s="65"/>
      <c r="B14" s="65"/>
      <c r="C14" s="65"/>
      <c r="D14" s="65"/>
      <c r="E14" s="65"/>
      <c r="F14" s="65"/>
      <c r="G14" s="65"/>
      <c r="H14" s="65"/>
    </row>
    <row r="15" spans="1:8">
      <c r="A15" s="65"/>
      <c r="B15" s="65"/>
      <c r="C15" s="65"/>
      <c r="D15" s="65"/>
      <c r="E15" s="65"/>
      <c r="F15" s="65"/>
      <c r="G15" s="65"/>
      <c r="H15" s="65"/>
    </row>
    <row r="16" spans="1:8">
      <c r="A16" s="65"/>
      <c r="B16" s="65"/>
      <c r="C16" s="65"/>
      <c r="D16" s="65"/>
      <c r="E16" s="65"/>
      <c r="F16" s="65"/>
      <c r="G16" s="65"/>
      <c r="H16" s="65"/>
    </row>
    <row r="17" spans="1:8">
      <c r="A17" s="65"/>
      <c r="B17" s="65"/>
      <c r="C17" s="65"/>
      <c r="D17" s="65"/>
      <c r="E17" s="65"/>
      <c r="F17" s="65"/>
      <c r="G17" s="65"/>
      <c r="H17" s="65"/>
    </row>
  </sheetData>
  <pageMargins left="0.7" right="0.7" top="0.75" bottom="0.75" header="0.3" footer="0.3"/>
  <pageSetup orientation="landscape" r:id="rId1"/>
  <headerFooter>
    <oddFooter>&amp;LBusiness Architecture Guild Copyright 2019 &amp;RFinancial Services Reference Model v2.0</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7"/>
  <sheetViews>
    <sheetView zoomScale="91" zoomScaleNormal="91" zoomScalePageLayoutView="110" workbookViewId="0"/>
  </sheetViews>
  <sheetFormatPr defaultColWidth="8.7265625" defaultRowHeight="15.5"/>
  <cols>
    <col min="1" max="1" width="17.1796875" style="66" customWidth="1"/>
    <col min="2" max="2" width="17" style="66" customWidth="1"/>
    <col min="3" max="3" width="50.54296875" style="66" customWidth="1"/>
    <col min="4" max="4" width="22.54296875" style="66" customWidth="1"/>
    <col min="5" max="5" width="18" style="66" customWidth="1"/>
    <col min="6" max="6" width="20.26953125" style="66" customWidth="1"/>
    <col min="7" max="7" width="22.54296875" style="66" customWidth="1"/>
    <col min="8" max="8" width="18" style="66" customWidth="1"/>
    <col min="9" max="16384" width="8.7265625" style="66"/>
  </cols>
  <sheetData>
    <row r="1" spans="1:8" s="76" customFormat="1" ht="31">
      <c r="A1" s="68" t="s">
        <v>5</v>
      </c>
      <c r="B1" s="68" t="s">
        <v>10</v>
      </c>
      <c r="C1" s="68" t="s">
        <v>4</v>
      </c>
      <c r="D1" s="68" t="s">
        <v>9</v>
      </c>
      <c r="E1" s="68" t="s">
        <v>8</v>
      </c>
      <c r="F1" s="68" t="s">
        <v>6</v>
      </c>
      <c r="G1" s="68" t="s">
        <v>7</v>
      </c>
      <c r="H1" s="68" t="s">
        <v>11</v>
      </c>
    </row>
    <row r="2" spans="1:8" ht="46.5">
      <c r="A2" s="71" t="s">
        <v>1494</v>
      </c>
      <c r="B2" s="72"/>
      <c r="C2" s="74" t="s">
        <v>1495</v>
      </c>
      <c r="D2" s="74" t="s">
        <v>2013</v>
      </c>
      <c r="E2" s="72"/>
      <c r="F2" s="72"/>
      <c r="G2" s="72"/>
      <c r="H2" s="74" t="s">
        <v>1496</v>
      </c>
    </row>
    <row r="3" spans="1:8" ht="46.5">
      <c r="A3" s="72"/>
      <c r="B3" s="71" t="s">
        <v>1497</v>
      </c>
      <c r="C3" s="74" t="s">
        <v>1498</v>
      </c>
      <c r="D3" s="72"/>
      <c r="E3" s="74" t="s">
        <v>1499</v>
      </c>
      <c r="F3" s="74" t="s">
        <v>1500</v>
      </c>
      <c r="G3" s="74" t="s">
        <v>2014</v>
      </c>
      <c r="H3" s="74" t="s">
        <v>1501</v>
      </c>
    </row>
    <row r="4" spans="1:8" ht="31">
      <c r="A4" s="72"/>
      <c r="B4" s="71" t="s">
        <v>1502</v>
      </c>
      <c r="C4" s="74" t="s">
        <v>2015</v>
      </c>
      <c r="D4" s="72"/>
      <c r="E4" s="74" t="s">
        <v>1503</v>
      </c>
      <c r="F4" s="74" t="s">
        <v>1504</v>
      </c>
      <c r="G4" s="74" t="s">
        <v>2016</v>
      </c>
      <c r="H4" s="74" t="s">
        <v>1505</v>
      </c>
    </row>
    <row r="5" spans="1:8" ht="31">
      <c r="A5" s="72"/>
      <c r="B5" s="71" t="s">
        <v>1506</v>
      </c>
      <c r="C5" s="74" t="s">
        <v>2017</v>
      </c>
      <c r="D5" s="72"/>
      <c r="E5" s="74" t="s">
        <v>2018</v>
      </c>
      <c r="F5" s="74" t="s">
        <v>1507</v>
      </c>
      <c r="G5" s="74" t="s">
        <v>2019</v>
      </c>
      <c r="H5" s="74" t="s">
        <v>1508</v>
      </c>
    </row>
    <row r="6" spans="1:8" ht="46.5">
      <c r="A6" s="72"/>
      <c r="B6" s="71" t="s">
        <v>1509</v>
      </c>
      <c r="C6" s="74" t="s">
        <v>1510</v>
      </c>
      <c r="D6" s="72"/>
      <c r="E6" s="74" t="s">
        <v>1511</v>
      </c>
      <c r="F6" s="74" t="s">
        <v>1512</v>
      </c>
      <c r="G6" s="74" t="s">
        <v>2020</v>
      </c>
      <c r="H6" s="74" t="s">
        <v>1514</v>
      </c>
    </row>
    <row r="7" spans="1:8" ht="46.5">
      <c r="A7" s="72"/>
      <c r="B7" s="71" t="s">
        <v>1515</v>
      </c>
      <c r="C7" s="74" t="s">
        <v>1516</v>
      </c>
      <c r="D7" s="72"/>
      <c r="E7" s="74" t="s">
        <v>1513</v>
      </c>
      <c r="F7" s="74" t="s">
        <v>1517</v>
      </c>
      <c r="G7" s="74" t="s">
        <v>2021</v>
      </c>
      <c r="H7" s="74" t="s">
        <v>1518</v>
      </c>
    </row>
  </sheetData>
  <pageMargins left="0.7" right="0.7" top="0.75" bottom="0.75" header="0.3" footer="0.3"/>
  <pageSetup orientation="portrait" r:id="rId1"/>
  <headerFooter>
    <oddFooter>&amp;LBusiness Architecture Guild Copyright 2019 &amp;RFinancial Services Reference Model v2.0</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zoomScale="80" zoomScaleNormal="80" zoomScalePageLayoutView="110" workbookViewId="0"/>
  </sheetViews>
  <sheetFormatPr defaultColWidth="8.7265625" defaultRowHeight="15.5"/>
  <cols>
    <col min="1" max="1" width="17.1796875" style="32" customWidth="1"/>
    <col min="2" max="2" width="17.81640625" style="32" customWidth="1"/>
    <col min="3" max="3" width="50.54296875" style="32" customWidth="1"/>
    <col min="4" max="4" width="22.54296875" style="32" customWidth="1"/>
    <col min="5" max="5" width="15.7265625" style="32" customWidth="1"/>
    <col min="6" max="6" width="20.26953125" style="32" customWidth="1"/>
    <col min="7" max="7" width="22.54296875" style="32" customWidth="1"/>
    <col min="8" max="8" width="23.453125" style="32" customWidth="1"/>
    <col min="9" max="16384" width="8.7265625" style="32"/>
  </cols>
  <sheetData>
    <row r="1" spans="1:8" s="70" customFormat="1" ht="31">
      <c r="A1" s="68" t="s">
        <v>5</v>
      </c>
      <c r="B1" s="68" t="s">
        <v>10</v>
      </c>
      <c r="C1" s="68" t="s">
        <v>4</v>
      </c>
      <c r="D1" s="68" t="s">
        <v>9</v>
      </c>
      <c r="E1" s="68" t="s">
        <v>8</v>
      </c>
      <c r="F1" s="68" t="s">
        <v>6</v>
      </c>
      <c r="G1" s="68" t="s">
        <v>7</v>
      </c>
      <c r="H1" s="69" t="s">
        <v>11</v>
      </c>
    </row>
    <row r="2" spans="1:8" ht="77.5">
      <c r="A2" s="71" t="s">
        <v>2022</v>
      </c>
      <c r="B2" s="72"/>
      <c r="C2" s="74" t="s">
        <v>2023</v>
      </c>
      <c r="D2" s="74" t="s">
        <v>2024</v>
      </c>
      <c r="E2" s="72"/>
      <c r="F2" s="72"/>
      <c r="G2" s="72"/>
      <c r="H2" s="74" t="s">
        <v>1519</v>
      </c>
    </row>
    <row r="3" spans="1:8" ht="62">
      <c r="A3" s="72"/>
      <c r="B3" s="74" t="s">
        <v>1520</v>
      </c>
      <c r="C3" s="74" t="s">
        <v>2025</v>
      </c>
      <c r="D3" s="72"/>
      <c r="E3" s="74" t="s">
        <v>1521</v>
      </c>
      <c r="F3" s="75" t="s">
        <v>1522</v>
      </c>
      <c r="G3" s="74" t="s">
        <v>2026</v>
      </c>
      <c r="H3" s="74" t="s">
        <v>1519</v>
      </c>
    </row>
    <row r="4" spans="1:8" ht="62">
      <c r="A4" s="72"/>
      <c r="B4" s="74" t="s">
        <v>1523</v>
      </c>
      <c r="C4" s="74" t="s">
        <v>1524</v>
      </c>
      <c r="D4" s="72"/>
      <c r="E4" s="75" t="s">
        <v>1522</v>
      </c>
      <c r="F4" s="74" t="s">
        <v>1525</v>
      </c>
      <c r="G4" s="74" t="s">
        <v>2027</v>
      </c>
      <c r="H4" s="74" t="s">
        <v>1526</v>
      </c>
    </row>
    <row r="5" spans="1:8" ht="62">
      <c r="A5" s="72"/>
      <c r="B5" s="74" t="s">
        <v>1527</v>
      </c>
      <c r="C5" s="74" t="s">
        <v>2028</v>
      </c>
      <c r="D5" s="72"/>
      <c r="E5" s="74" t="s">
        <v>1525</v>
      </c>
      <c r="F5" s="74" t="s">
        <v>1528</v>
      </c>
      <c r="G5" s="74" t="s">
        <v>2029</v>
      </c>
      <c r="H5" s="74" t="s">
        <v>1529</v>
      </c>
    </row>
    <row r="6" spans="1:8" ht="46.5">
      <c r="A6" s="72"/>
      <c r="B6" s="74" t="s">
        <v>1530</v>
      </c>
      <c r="C6" s="74" t="s">
        <v>1531</v>
      </c>
      <c r="D6" s="72"/>
      <c r="E6" s="74" t="s">
        <v>1528</v>
      </c>
      <c r="F6" s="74" t="s">
        <v>1532</v>
      </c>
      <c r="G6" s="74" t="s">
        <v>2030</v>
      </c>
      <c r="H6" s="74" t="s">
        <v>1526</v>
      </c>
    </row>
    <row r="7" spans="1:8">
      <c r="A7" s="65"/>
      <c r="B7" s="65"/>
      <c r="C7" s="65"/>
      <c r="D7" s="65"/>
      <c r="E7" s="65"/>
      <c r="F7" s="65"/>
      <c r="G7" s="65"/>
      <c r="H7" s="65"/>
    </row>
    <row r="8" spans="1:8">
      <c r="A8" s="65"/>
      <c r="B8" s="65"/>
      <c r="C8" s="67"/>
      <c r="D8" s="65"/>
      <c r="E8" s="65"/>
      <c r="F8" s="65"/>
      <c r="G8" s="65"/>
      <c r="H8" s="65"/>
    </row>
    <row r="9" spans="1:8">
      <c r="A9" s="65"/>
      <c r="B9" s="65"/>
      <c r="C9" s="65"/>
      <c r="D9" s="65"/>
      <c r="E9" s="65"/>
      <c r="F9" s="65"/>
      <c r="G9" s="65"/>
      <c r="H9" s="65"/>
    </row>
    <row r="10" spans="1:8">
      <c r="A10" s="65"/>
      <c r="B10" s="65"/>
      <c r="C10" s="65"/>
      <c r="D10" s="65"/>
      <c r="E10" s="65"/>
      <c r="F10" s="65"/>
      <c r="G10" s="65"/>
      <c r="H10" s="65"/>
    </row>
    <row r="11" spans="1:8">
      <c r="A11" s="65"/>
      <c r="B11" s="65"/>
      <c r="C11" s="65"/>
      <c r="D11" s="65"/>
      <c r="E11" s="65"/>
      <c r="F11" s="65"/>
      <c r="G11" s="65"/>
      <c r="H11" s="65"/>
    </row>
    <row r="12" spans="1:8">
      <c r="A12" s="65"/>
      <c r="B12" s="65"/>
      <c r="C12" s="65"/>
      <c r="D12" s="65"/>
      <c r="E12" s="65"/>
      <c r="F12" s="65"/>
      <c r="G12" s="65"/>
      <c r="H12" s="65"/>
    </row>
    <row r="13" spans="1:8">
      <c r="A13" s="65"/>
      <c r="B13" s="65"/>
      <c r="C13" s="65"/>
      <c r="D13" s="65"/>
      <c r="E13" s="65"/>
      <c r="F13" s="65"/>
      <c r="G13" s="65"/>
      <c r="H13" s="65"/>
    </row>
    <row r="14" spans="1:8">
      <c r="A14" s="65"/>
      <c r="B14" s="65"/>
      <c r="C14" s="65"/>
      <c r="D14" s="65"/>
      <c r="E14" s="65"/>
      <c r="F14" s="65"/>
      <c r="G14" s="65"/>
      <c r="H14" s="65"/>
    </row>
    <row r="15" spans="1:8">
      <c r="A15" s="65"/>
      <c r="B15" s="65"/>
      <c r="C15" s="65"/>
      <c r="D15" s="65"/>
      <c r="E15" s="65"/>
      <c r="F15" s="65"/>
      <c r="G15" s="65"/>
      <c r="H15" s="65"/>
    </row>
    <row r="16" spans="1:8">
      <c r="A16" s="65"/>
      <c r="B16" s="65"/>
      <c r="C16" s="65"/>
      <c r="D16" s="65"/>
      <c r="E16" s="65"/>
      <c r="F16" s="65"/>
      <c r="G16" s="65"/>
      <c r="H16" s="65"/>
    </row>
  </sheetData>
  <pageMargins left="0.7" right="0.7" top="0.75" bottom="0.75" header="0.3" footer="0.3"/>
  <pageSetup orientation="landscape" r:id="rId1"/>
  <headerFooter>
    <oddFooter>&amp;LBusiness Architecture Guild Copyright 2019 &amp;RFinancial Services Reference Model v2.0</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7"/>
  <sheetViews>
    <sheetView zoomScale="90" zoomScaleNormal="90" zoomScalePageLayoutView="110" workbookViewId="0"/>
  </sheetViews>
  <sheetFormatPr defaultColWidth="8.7265625" defaultRowHeight="15.5"/>
  <cols>
    <col min="1" max="1" width="17.1796875" style="32" customWidth="1"/>
    <col min="2" max="2" width="14.453125" style="32" customWidth="1"/>
    <col min="3" max="3" width="50.54296875" style="32" customWidth="1"/>
    <col min="4" max="4" width="22.54296875" style="32" customWidth="1"/>
    <col min="5" max="5" width="16.453125" style="32" customWidth="1"/>
    <col min="6" max="6" width="20.26953125" style="32" customWidth="1"/>
    <col min="7" max="7" width="22.54296875" style="32" customWidth="1"/>
    <col min="8" max="8" width="16" style="32" customWidth="1"/>
    <col min="9" max="16384" width="8.7265625" style="32"/>
  </cols>
  <sheetData>
    <row r="1" spans="1:8" s="70" customFormat="1" ht="31">
      <c r="A1" s="68" t="s">
        <v>5</v>
      </c>
      <c r="B1" s="68" t="s">
        <v>10</v>
      </c>
      <c r="C1" s="68" t="s">
        <v>4</v>
      </c>
      <c r="D1" s="68" t="s">
        <v>9</v>
      </c>
      <c r="E1" s="68" t="s">
        <v>8</v>
      </c>
      <c r="F1" s="68" t="s">
        <v>6</v>
      </c>
      <c r="G1" s="68" t="s">
        <v>7</v>
      </c>
      <c r="H1" s="69" t="s">
        <v>11</v>
      </c>
    </row>
    <row r="2" spans="1:8" ht="31">
      <c r="A2" s="71" t="s">
        <v>1066</v>
      </c>
      <c r="B2" s="72"/>
      <c r="C2" s="74" t="s">
        <v>2031</v>
      </c>
      <c r="D2" s="74" t="s">
        <v>2032</v>
      </c>
      <c r="E2" s="72"/>
      <c r="F2" s="72"/>
      <c r="G2" s="72"/>
      <c r="H2" s="74" t="s">
        <v>1533</v>
      </c>
    </row>
    <row r="3" spans="1:8" ht="46.5">
      <c r="A3" s="72"/>
      <c r="B3" s="71" t="s">
        <v>1534</v>
      </c>
      <c r="C3" s="74" t="s">
        <v>1535</v>
      </c>
      <c r="D3" s="72"/>
      <c r="E3" s="74" t="s">
        <v>1536</v>
      </c>
      <c r="F3" s="74" t="s">
        <v>1537</v>
      </c>
      <c r="G3" s="74" t="s">
        <v>2033</v>
      </c>
      <c r="H3" s="74" t="s">
        <v>1538</v>
      </c>
    </row>
    <row r="4" spans="1:8" ht="46.5">
      <c r="A4" s="72"/>
      <c r="B4" s="71" t="s">
        <v>1539</v>
      </c>
      <c r="C4" s="74" t="s">
        <v>2034</v>
      </c>
      <c r="D4" s="72"/>
      <c r="E4" s="74" t="s">
        <v>1537</v>
      </c>
      <c r="F4" s="74" t="s">
        <v>1540</v>
      </c>
      <c r="G4" s="74" t="s">
        <v>2035</v>
      </c>
      <c r="H4" s="74" t="s">
        <v>1541</v>
      </c>
    </row>
    <row r="5" spans="1:8" ht="62">
      <c r="A5" s="72"/>
      <c r="B5" s="74" t="s">
        <v>1542</v>
      </c>
      <c r="C5" s="74" t="s">
        <v>2036</v>
      </c>
      <c r="D5" s="72"/>
      <c r="E5" s="74" t="s">
        <v>1540</v>
      </c>
      <c r="F5" s="74" t="s">
        <v>1543</v>
      </c>
      <c r="G5" s="74" t="s">
        <v>2037</v>
      </c>
      <c r="H5" s="74" t="s">
        <v>1541</v>
      </c>
    </row>
    <row r="6" spans="1:8" ht="46.5">
      <c r="A6" s="72"/>
      <c r="B6" s="71" t="s">
        <v>1544</v>
      </c>
      <c r="C6" s="74" t="s">
        <v>1545</v>
      </c>
      <c r="D6" s="72"/>
      <c r="E6" s="74" t="s">
        <v>1543</v>
      </c>
      <c r="F6" s="74" t="s">
        <v>1546</v>
      </c>
      <c r="G6" s="74" t="s">
        <v>2038</v>
      </c>
      <c r="H6" s="74" t="s">
        <v>1541</v>
      </c>
    </row>
    <row r="7" spans="1:8" ht="46.5">
      <c r="A7" s="72"/>
      <c r="B7" s="71" t="s">
        <v>1547</v>
      </c>
      <c r="C7" s="74" t="s">
        <v>1548</v>
      </c>
      <c r="D7" s="72"/>
      <c r="E7" s="74" t="s">
        <v>1546</v>
      </c>
      <c r="F7" s="74" t="s">
        <v>1549</v>
      </c>
      <c r="G7" s="74" t="s">
        <v>2039</v>
      </c>
      <c r="H7" s="74" t="s">
        <v>1550</v>
      </c>
    </row>
    <row r="8" spans="1:8">
      <c r="A8" s="65"/>
      <c r="B8" s="65"/>
      <c r="C8" s="65"/>
      <c r="D8" s="65"/>
      <c r="E8" s="65"/>
      <c r="F8" s="65"/>
      <c r="G8" s="65"/>
      <c r="H8" s="65"/>
    </row>
    <row r="9" spans="1:8">
      <c r="A9" s="65"/>
      <c r="B9" s="65"/>
      <c r="C9" s="67"/>
      <c r="D9" s="65"/>
      <c r="E9" s="65"/>
      <c r="F9" s="65"/>
      <c r="G9" s="65"/>
      <c r="H9" s="65"/>
    </row>
    <row r="10" spans="1:8">
      <c r="A10" s="65"/>
      <c r="B10" s="65"/>
      <c r="C10" s="65"/>
      <c r="D10" s="65"/>
      <c r="E10" s="65"/>
      <c r="F10" s="65"/>
      <c r="G10" s="65"/>
      <c r="H10" s="65"/>
    </row>
    <row r="11" spans="1:8">
      <c r="A11" s="65"/>
      <c r="B11" s="65"/>
      <c r="C11" s="65"/>
      <c r="D11" s="65"/>
      <c r="E11" s="65"/>
      <c r="F11" s="65"/>
      <c r="G11" s="65"/>
      <c r="H11" s="65"/>
    </row>
    <row r="12" spans="1:8">
      <c r="A12" s="65"/>
      <c r="B12" s="65"/>
      <c r="C12" s="65"/>
      <c r="D12" s="65"/>
      <c r="E12" s="65"/>
      <c r="F12" s="65"/>
      <c r="G12" s="65"/>
      <c r="H12" s="65"/>
    </row>
    <row r="13" spans="1:8">
      <c r="A13" s="65"/>
      <c r="B13" s="65"/>
      <c r="C13" s="65"/>
      <c r="D13" s="65"/>
      <c r="E13" s="65"/>
      <c r="F13" s="65"/>
      <c r="G13" s="65"/>
      <c r="H13" s="65"/>
    </row>
    <row r="14" spans="1:8">
      <c r="A14" s="65"/>
      <c r="B14" s="65"/>
      <c r="C14" s="65"/>
      <c r="D14" s="65"/>
      <c r="E14" s="65"/>
      <c r="F14" s="65"/>
      <c r="G14" s="65"/>
      <c r="H14" s="65"/>
    </row>
    <row r="15" spans="1:8">
      <c r="A15" s="65"/>
      <c r="B15" s="65"/>
      <c r="C15" s="65"/>
      <c r="D15" s="65"/>
      <c r="E15" s="65"/>
      <c r="F15" s="65"/>
      <c r="G15" s="65"/>
      <c r="H15" s="65"/>
    </row>
    <row r="16" spans="1:8">
      <c r="A16" s="65"/>
      <c r="B16" s="65"/>
      <c r="C16" s="65"/>
      <c r="D16" s="65"/>
      <c r="E16" s="65"/>
      <c r="F16" s="65"/>
      <c r="G16" s="65"/>
      <c r="H16" s="65"/>
    </row>
    <row r="17" spans="1:8">
      <c r="A17" s="65"/>
      <c r="B17" s="65"/>
      <c r="C17" s="65"/>
      <c r="D17" s="65"/>
      <c r="E17" s="65"/>
      <c r="F17" s="65"/>
      <c r="G17" s="65"/>
      <c r="H17" s="65"/>
    </row>
  </sheetData>
  <pageMargins left="0.7" right="0.7" top="0.75" bottom="0.75" header="0.3" footer="0.3"/>
  <pageSetup orientation="landscape" r:id="rId1"/>
  <headerFooter>
    <oddFooter>&amp;LBusiness Architecture Guild Copyright 2019 &amp;RFinancial Services Reference Model v2.0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7"/>
  <sheetViews>
    <sheetView zoomScale="80" zoomScaleNormal="80" zoomScalePageLayoutView="110" workbookViewId="0"/>
  </sheetViews>
  <sheetFormatPr defaultColWidth="8.7265625" defaultRowHeight="15.5"/>
  <cols>
    <col min="1" max="1" width="15" style="32" customWidth="1"/>
    <col min="2" max="2" width="17.81640625" style="32" customWidth="1"/>
    <col min="3" max="3" width="50.54296875" style="32" customWidth="1"/>
    <col min="4" max="4" width="24.1796875" style="32" customWidth="1"/>
    <col min="5" max="5" width="19.453125" style="32" customWidth="1"/>
    <col min="6" max="6" width="20.26953125" style="32" customWidth="1"/>
    <col min="7" max="7" width="35.26953125" style="32" customWidth="1"/>
    <col min="8" max="8" width="25.7265625" style="32" customWidth="1"/>
    <col min="9" max="16384" width="8.7265625" style="32"/>
  </cols>
  <sheetData>
    <row r="1" spans="1:8" s="70" customFormat="1" ht="31">
      <c r="A1" s="68" t="s">
        <v>5</v>
      </c>
      <c r="B1" s="68" t="s">
        <v>10</v>
      </c>
      <c r="C1" s="68" t="s">
        <v>4</v>
      </c>
      <c r="D1" s="68" t="s">
        <v>9</v>
      </c>
      <c r="E1" s="68" t="s">
        <v>8</v>
      </c>
      <c r="F1" s="68" t="s">
        <v>6</v>
      </c>
      <c r="G1" s="68" t="s">
        <v>7</v>
      </c>
      <c r="H1" s="69" t="s">
        <v>11</v>
      </c>
    </row>
    <row r="2" spans="1:8" ht="84" customHeight="1">
      <c r="A2" s="71" t="s">
        <v>1067</v>
      </c>
      <c r="B2" s="72"/>
      <c r="C2" s="71" t="s">
        <v>2040</v>
      </c>
      <c r="D2" s="71" t="s">
        <v>2041</v>
      </c>
      <c r="E2" s="72"/>
      <c r="F2" s="72"/>
      <c r="G2" s="72"/>
      <c r="H2" s="74" t="s">
        <v>1447</v>
      </c>
    </row>
    <row r="3" spans="1:8" ht="46.5">
      <c r="A3" s="72"/>
      <c r="B3" s="73" t="s">
        <v>1551</v>
      </c>
      <c r="C3" s="73" t="s">
        <v>1552</v>
      </c>
      <c r="D3" s="72"/>
      <c r="E3" s="71" t="s">
        <v>1553</v>
      </c>
      <c r="F3" s="73" t="s">
        <v>1554</v>
      </c>
      <c r="G3" s="74" t="s">
        <v>3193</v>
      </c>
      <c r="H3" s="74" t="s">
        <v>1555</v>
      </c>
    </row>
    <row r="4" spans="1:8" ht="46.5">
      <c r="A4" s="72"/>
      <c r="B4" s="71" t="s">
        <v>1556</v>
      </c>
      <c r="C4" s="71" t="s">
        <v>1557</v>
      </c>
      <c r="D4" s="72"/>
      <c r="E4" s="73" t="s">
        <v>1554</v>
      </c>
      <c r="F4" s="71" t="s">
        <v>1558</v>
      </c>
      <c r="G4" s="74" t="s">
        <v>2042</v>
      </c>
      <c r="H4" s="74" t="s">
        <v>1559</v>
      </c>
    </row>
    <row r="5" spans="1:8" ht="69" customHeight="1">
      <c r="A5" s="72"/>
      <c r="B5" s="71" t="s">
        <v>1560</v>
      </c>
      <c r="C5" s="71" t="s">
        <v>2043</v>
      </c>
      <c r="D5" s="72"/>
      <c r="E5" s="71" t="s">
        <v>1558</v>
      </c>
      <c r="F5" s="71" t="s">
        <v>1561</v>
      </c>
      <c r="G5" s="71" t="s">
        <v>2044</v>
      </c>
      <c r="H5" s="74" t="s">
        <v>2045</v>
      </c>
    </row>
    <row r="6" spans="1:8" ht="50.5" customHeight="1">
      <c r="A6" s="72"/>
      <c r="B6" s="71" t="s">
        <v>1562</v>
      </c>
      <c r="C6" s="71" t="s">
        <v>2046</v>
      </c>
      <c r="D6" s="72"/>
      <c r="E6" s="71" t="s">
        <v>1561</v>
      </c>
      <c r="F6" s="74" t="s">
        <v>1563</v>
      </c>
      <c r="G6" s="74" t="s">
        <v>2047</v>
      </c>
      <c r="H6" s="74" t="s">
        <v>2048</v>
      </c>
    </row>
    <row r="7" spans="1:8" ht="39" customHeight="1">
      <c r="A7" s="72"/>
      <c r="B7" s="71" t="s">
        <v>1564</v>
      </c>
      <c r="C7" s="71" t="s">
        <v>1565</v>
      </c>
      <c r="D7" s="72"/>
      <c r="E7" s="74" t="s">
        <v>1563</v>
      </c>
      <c r="F7" s="74" t="s">
        <v>1566</v>
      </c>
      <c r="G7" s="71" t="s">
        <v>2049</v>
      </c>
      <c r="H7" s="74" t="s">
        <v>1567</v>
      </c>
    </row>
    <row r="8" spans="1:8">
      <c r="A8" s="65"/>
      <c r="B8" s="65"/>
      <c r="C8" s="65"/>
      <c r="D8" s="65"/>
      <c r="E8" s="65"/>
      <c r="F8" s="65"/>
      <c r="G8" s="65"/>
      <c r="H8" s="65"/>
    </row>
    <row r="9" spans="1:8">
      <c r="A9" s="65"/>
      <c r="B9" s="65"/>
      <c r="C9" s="67"/>
      <c r="D9" s="65"/>
      <c r="E9" s="65"/>
      <c r="F9" s="65"/>
      <c r="G9" s="65"/>
      <c r="H9" s="65"/>
    </row>
    <row r="10" spans="1:8">
      <c r="A10" s="65"/>
      <c r="B10" s="65"/>
      <c r="C10" s="65"/>
      <c r="D10" s="65"/>
      <c r="E10" s="65"/>
      <c r="F10" s="65"/>
      <c r="G10" s="65"/>
      <c r="H10" s="65"/>
    </row>
    <row r="11" spans="1:8">
      <c r="A11" s="65"/>
      <c r="B11" s="65"/>
      <c r="C11" s="65"/>
      <c r="D11" s="65"/>
      <c r="E11" s="65"/>
      <c r="F11" s="65"/>
      <c r="G11" s="65"/>
      <c r="H11" s="65"/>
    </row>
    <row r="12" spans="1:8">
      <c r="A12" s="65"/>
      <c r="B12" s="65"/>
      <c r="C12" s="65"/>
      <c r="D12" s="65"/>
      <c r="E12" s="65"/>
      <c r="F12" s="65"/>
      <c r="G12" s="65"/>
      <c r="H12" s="65"/>
    </row>
    <row r="13" spans="1:8">
      <c r="A13" s="65"/>
      <c r="B13" s="65"/>
      <c r="C13" s="65"/>
      <c r="D13" s="65"/>
      <c r="E13" s="65"/>
      <c r="F13" s="65"/>
      <c r="G13" s="65"/>
      <c r="H13" s="65"/>
    </row>
    <row r="14" spans="1:8">
      <c r="A14" s="65"/>
      <c r="B14" s="65"/>
      <c r="C14" s="65"/>
      <c r="D14" s="65"/>
      <c r="E14" s="65"/>
      <c r="F14" s="65"/>
      <c r="G14" s="65"/>
      <c r="H14" s="65"/>
    </row>
    <row r="15" spans="1:8">
      <c r="A15" s="65"/>
      <c r="B15" s="65"/>
      <c r="C15" s="65"/>
      <c r="D15" s="65"/>
      <c r="E15" s="65"/>
      <c r="F15" s="65"/>
      <c r="G15" s="65"/>
      <c r="H15" s="65"/>
    </row>
    <row r="16" spans="1:8">
      <c r="A16" s="65"/>
      <c r="B16" s="65"/>
      <c r="C16" s="65"/>
      <c r="D16" s="65"/>
      <c r="E16" s="65"/>
      <c r="F16" s="65"/>
      <c r="G16" s="65"/>
      <c r="H16" s="65"/>
    </row>
    <row r="17" spans="1:8">
      <c r="A17" s="65"/>
      <c r="B17" s="65"/>
      <c r="C17" s="65"/>
      <c r="D17" s="65"/>
      <c r="E17" s="65"/>
      <c r="F17" s="65"/>
      <c r="G17" s="65"/>
      <c r="H17" s="65"/>
    </row>
  </sheetData>
  <pageMargins left="0.7" right="0.7" top="0.75" bottom="0.75" header="0.3" footer="0.3"/>
  <pageSetup orientation="landscape" r:id="rId1"/>
  <headerFooter>
    <oddFooter>&amp;LBusiness Architecture Guild Copyright 2019 &amp;RFinancial Services Reference Model v2.0</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7"/>
  <sheetViews>
    <sheetView zoomScale="80" zoomScaleNormal="80" zoomScalePageLayoutView="110" workbookViewId="0"/>
  </sheetViews>
  <sheetFormatPr defaultColWidth="8.7265625" defaultRowHeight="15.5"/>
  <cols>
    <col min="1" max="1" width="17.1796875" style="32" customWidth="1"/>
    <col min="2" max="2" width="16" style="32" customWidth="1"/>
    <col min="3" max="3" width="50.54296875" style="32" customWidth="1"/>
    <col min="4" max="4" width="22.54296875" style="32" customWidth="1"/>
    <col min="5" max="5" width="17.7265625" style="32" customWidth="1"/>
    <col min="6" max="6" width="20.26953125" style="32" customWidth="1"/>
    <col min="7" max="7" width="22.54296875" style="32" customWidth="1"/>
    <col min="8" max="8" width="23.54296875" style="32" customWidth="1"/>
    <col min="9" max="16384" width="8.7265625" style="32"/>
  </cols>
  <sheetData>
    <row r="1" spans="1:8" s="70" customFormat="1" ht="31">
      <c r="A1" s="68" t="s">
        <v>5</v>
      </c>
      <c r="B1" s="68" t="s">
        <v>10</v>
      </c>
      <c r="C1" s="68" t="s">
        <v>4</v>
      </c>
      <c r="D1" s="68" t="s">
        <v>9</v>
      </c>
      <c r="E1" s="68" t="s">
        <v>8</v>
      </c>
      <c r="F1" s="68" t="s">
        <v>6</v>
      </c>
      <c r="G1" s="68" t="s">
        <v>7</v>
      </c>
      <c r="H1" s="69" t="s">
        <v>11</v>
      </c>
    </row>
    <row r="2" spans="1:8" ht="67.5" customHeight="1">
      <c r="A2" s="71" t="s">
        <v>1068</v>
      </c>
      <c r="B2" s="72"/>
      <c r="C2" s="71" t="s">
        <v>2050</v>
      </c>
      <c r="D2" s="112" t="s">
        <v>2051</v>
      </c>
      <c r="E2" s="72"/>
      <c r="F2" s="72"/>
      <c r="G2" s="72"/>
      <c r="H2" s="71" t="s">
        <v>1568</v>
      </c>
    </row>
    <row r="3" spans="1:8" ht="31">
      <c r="A3" s="72"/>
      <c r="B3" s="73" t="s">
        <v>1569</v>
      </c>
      <c r="C3" s="73" t="s">
        <v>2052</v>
      </c>
      <c r="D3" s="72"/>
      <c r="E3" s="71" t="s">
        <v>1570</v>
      </c>
      <c r="F3" s="73" t="s">
        <v>1571</v>
      </c>
      <c r="G3" s="73" t="s">
        <v>2053</v>
      </c>
      <c r="H3" s="71" t="s">
        <v>1572</v>
      </c>
    </row>
    <row r="4" spans="1:8" ht="62">
      <c r="A4" s="72"/>
      <c r="B4" s="71" t="s">
        <v>1573</v>
      </c>
      <c r="C4" s="71" t="s">
        <v>2054</v>
      </c>
      <c r="D4" s="72"/>
      <c r="E4" s="66" t="s">
        <v>1571</v>
      </c>
      <c r="F4" s="71" t="s">
        <v>1574</v>
      </c>
      <c r="G4" s="71" t="s">
        <v>2055</v>
      </c>
      <c r="H4" s="71" t="s">
        <v>1572</v>
      </c>
    </row>
    <row r="5" spans="1:8" ht="46.5">
      <c r="A5" s="72"/>
      <c r="B5" s="71" t="s">
        <v>1575</v>
      </c>
      <c r="C5" s="71" t="s">
        <v>2056</v>
      </c>
      <c r="D5" s="72"/>
      <c r="E5" s="74" t="s">
        <v>1574</v>
      </c>
      <c r="F5" s="71" t="s">
        <v>1576</v>
      </c>
      <c r="G5" s="73" t="s">
        <v>2057</v>
      </c>
      <c r="H5" s="71" t="s">
        <v>1577</v>
      </c>
    </row>
    <row r="6" spans="1:8" ht="46.5">
      <c r="A6" s="72"/>
      <c r="B6" s="71" t="s">
        <v>1578</v>
      </c>
      <c r="C6" s="71" t="s">
        <v>2058</v>
      </c>
      <c r="D6" s="72"/>
      <c r="E6" s="74" t="s">
        <v>1576</v>
      </c>
      <c r="F6" s="71" t="s">
        <v>1579</v>
      </c>
      <c r="G6" s="71" t="s">
        <v>2059</v>
      </c>
      <c r="H6" s="71" t="s">
        <v>1580</v>
      </c>
    </row>
    <row r="7" spans="1:8" ht="62">
      <c r="A7" s="72"/>
      <c r="B7" s="71" t="s">
        <v>1581</v>
      </c>
      <c r="C7" s="71" t="s">
        <v>2060</v>
      </c>
      <c r="D7" s="72"/>
      <c r="E7" s="74" t="s">
        <v>1579</v>
      </c>
      <c r="F7" s="71" t="s">
        <v>1582</v>
      </c>
      <c r="G7" s="71" t="s">
        <v>2061</v>
      </c>
      <c r="H7" s="71" t="s">
        <v>1572</v>
      </c>
    </row>
    <row r="8" spans="1:8">
      <c r="A8" s="65"/>
      <c r="B8" s="65"/>
      <c r="C8" s="65"/>
      <c r="D8" s="65"/>
      <c r="E8" s="65"/>
      <c r="F8" s="65"/>
      <c r="G8" s="65"/>
      <c r="H8" s="65"/>
    </row>
    <row r="9" spans="1:8">
      <c r="A9" s="65"/>
      <c r="B9" s="65"/>
      <c r="C9" s="67"/>
      <c r="D9" s="65"/>
      <c r="E9" s="65"/>
      <c r="F9" s="65"/>
      <c r="G9" s="65"/>
      <c r="H9" s="65"/>
    </row>
    <row r="10" spans="1:8">
      <c r="A10" s="65"/>
      <c r="B10" s="65"/>
      <c r="C10" s="65"/>
      <c r="D10" s="65"/>
      <c r="E10" s="65"/>
      <c r="F10" s="65"/>
      <c r="G10" s="65"/>
      <c r="H10" s="65"/>
    </row>
    <row r="11" spans="1:8">
      <c r="A11" s="65"/>
      <c r="B11" s="65"/>
      <c r="C11" s="65"/>
      <c r="D11" s="65"/>
      <c r="E11" s="65"/>
      <c r="F11" s="65"/>
      <c r="G11" s="65"/>
      <c r="H11" s="65"/>
    </row>
    <row r="12" spans="1:8">
      <c r="A12" s="65"/>
      <c r="B12" s="65"/>
      <c r="C12" s="65"/>
      <c r="D12" s="65"/>
      <c r="E12" s="65"/>
      <c r="F12" s="65"/>
      <c r="G12" s="65"/>
      <c r="H12" s="65"/>
    </row>
    <row r="13" spans="1:8">
      <c r="A13" s="65"/>
      <c r="B13" s="65"/>
      <c r="C13" s="65"/>
      <c r="D13" s="65"/>
      <c r="E13" s="65"/>
      <c r="F13" s="65"/>
      <c r="G13" s="65"/>
      <c r="H13" s="65"/>
    </row>
    <row r="14" spans="1:8">
      <c r="A14" s="65"/>
      <c r="B14" s="65"/>
      <c r="C14" s="65"/>
      <c r="D14" s="65"/>
      <c r="E14" s="65"/>
      <c r="F14" s="65"/>
      <c r="G14" s="65"/>
      <c r="H14" s="65"/>
    </row>
    <row r="15" spans="1:8">
      <c r="A15" s="65"/>
      <c r="B15" s="65"/>
      <c r="C15" s="65"/>
      <c r="D15" s="65"/>
      <c r="E15" s="65"/>
      <c r="F15" s="65"/>
      <c r="G15" s="65"/>
      <c r="H15" s="65"/>
    </row>
    <row r="16" spans="1:8">
      <c r="A16" s="65"/>
      <c r="B16" s="65"/>
      <c r="C16" s="65"/>
      <c r="D16" s="65"/>
      <c r="E16" s="65"/>
      <c r="F16" s="65"/>
      <c r="G16" s="65"/>
      <c r="H16" s="65"/>
    </row>
    <row r="17" spans="1:8">
      <c r="A17" s="65"/>
      <c r="B17" s="65"/>
      <c r="C17" s="65"/>
      <c r="D17" s="65"/>
      <c r="E17" s="65"/>
      <c r="F17" s="65"/>
      <c r="G17" s="65"/>
      <c r="H17" s="65"/>
    </row>
  </sheetData>
  <pageMargins left="0.7" right="0.7" top="0.75" bottom="0.75" header="0.3" footer="0.3"/>
  <pageSetup orientation="landscape" r:id="rId1"/>
  <headerFooter>
    <oddFooter>&amp;LBusiness Architecture Guild Copyright 2019 &amp;RFinancial Services Reference Model v2.0</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17"/>
  <sheetViews>
    <sheetView zoomScale="80" zoomScaleNormal="80" zoomScalePageLayoutView="110" workbookViewId="0"/>
  </sheetViews>
  <sheetFormatPr defaultColWidth="8.7265625" defaultRowHeight="15.5"/>
  <cols>
    <col min="1" max="1" width="17.1796875" style="32" customWidth="1"/>
    <col min="2" max="2" width="14.453125" style="32" customWidth="1"/>
    <col min="3" max="3" width="50.54296875" style="32" customWidth="1"/>
    <col min="4" max="4" width="22.54296875" style="32" customWidth="1"/>
    <col min="5" max="5" width="16.7265625" style="32" customWidth="1"/>
    <col min="6" max="6" width="20.26953125" style="32" customWidth="1"/>
    <col min="7" max="7" width="22.54296875" style="32" customWidth="1"/>
    <col min="8" max="8" width="25.1796875" style="32" customWidth="1"/>
    <col min="9" max="16384" width="8.7265625" style="32"/>
  </cols>
  <sheetData>
    <row r="1" spans="1:8" s="70" customFormat="1" ht="31">
      <c r="A1" s="68" t="s">
        <v>5</v>
      </c>
      <c r="B1" s="68" t="s">
        <v>10</v>
      </c>
      <c r="C1" s="68" t="s">
        <v>4</v>
      </c>
      <c r="D1" s="68" t="s">
        <v>9</v>
      </c>
      <c r="E1" s="68" t="s">
        <v>8</v>
      </c>
      <c r="F1" s="68" t="s">
        <v>6</v>
      </c>
      <c r="G1" s="68" t="s">
        <v>7</v>
      </c>
      <c r="H1" s="69" t="s">
        <v>11</v>
      </c>
    </row>
    <row r="2" spans="1:8" ht="62">
      <c r="A2" s="71" t="s">
        <v>1069</v>
      </c>
      <c r="B2" s="72"/>
      <c r="C2" s="74" t="s">
        <v>2062</v>
      </c>
      <c r="D2" s="74" t="s">
        <v>1583</v>
      </c>
      <c r="E2" s="72"/>
      <c r="F2" s="72"/>
      <c r="G2" s="72"/>
      <c r="H2" s="71" t="s">
        <v>1584</v>
      </c>
    </row>
    <row r="3" spans="1:8" ht="46.5">
      <c r="A3" s="72"/>
      <c r="B3" s="71" t="s">
        <v>1585</v>
      </c>
      <c r="C3" s="74" t="s">
        <v>2063</v>
      </c>
      <c r="D3" s="72"/>
      <c r="E3" s="74" t="s">
        <v>1586</v>
      </c>
      <c r="F3" s="74" t="s">
        <v>1587</v>
      </c>
      <c r="G3" s="74" t="s">
        <v>2064</v>
      </c>
      <c r="H3" s="74" t="s">
        <v>1588</v>
      </c>
    </row>
    <row r="4" spans="1:8" ht="46.5">
      <c r="A4" s="72"/>
      <c r="B4" s="71" t="s">
        <v>1589</v>
      </c>
      <c r="C4" s="74" t="s">
        <v>2065</v>
      </c>
      <c r="D4" s="72"/>
      <c r="E4" s="74" t="s">
        <v>1587</v>
      </c>
      <c r="F4" s="74" t="s">
        <v>1590</v>
      </c>
      <c r="G4" s="74" t="s">
        <v>2066</v>
      </c>
      <c r="H4" s="74" t="s">
        <v>1588</v>
      </c>
    </row>
    <row r="5" spans="1:8" ht="46.5">
      <c r="A5" s="72"/>
      <c r="B5" s="71" t="s">
        <v>1591</v>
      </c>
      <c r="C5" s="74" t="s">
        <v>2067</v>
      </c>
      <c r="D5" s="72"/>
      <c r="E5" s="74" t="s">
        <v>1590</v>
      </c>
      <c r="F5" s="74" t="s">
        <v>1592</v>
      </c>
      <c r="G5" s="74" t="s">
        <v>2068</v>
      </c>
      <c r="H5" s="74" t="s">
        <v>1593</v>
      </c>
    </row>
    <row r="6" spans="1:8" ht="46.5">
      <c r="A6" s="72"/>
      <c r="B6" s="71" t="s">
        <v>1594</v>
      </c>
      <c r="C6" s="74" t="s">
        <v>2069</v>
      </c>
      <c r="D6" s="72"/>
      <c r="E6" s="74" t="s">
        <v>1592</v>
      </c>
      <c r="F6" s="74" t="s">
        <v>2070</v>
      </c>
      <c r="G6" s="74" t="s">
        <v>2071</v>
      </c>
      <c r="H6" s="74" t="s">
        <v>1593</v>
      </c>
    </row>
    <row r="7" spans="1:8" ht="31">
      <c r="A7" s="72"/>
      <c r="B7" s="71" t="s">
        <v>1595</v>
      </c>
      <c r="C7" s="74" t="s">
        <v>2072</v>
      </c>
      <c r="D7" s="72"/>
      <c r="E7" s="74" t="s">
        <v>2070</v>
      </c>
      <c r="F7" s="74" t="s">
        <v>1596</v>
      </c>
      <c r="G7" s="74" t="s">
        <v>2073</v>
      </c>
      <c r="H7" s="74" t="s">
        <v>1597</v>
      </c>
    </row>
    <row r="8" spans="1:8" ht="46.5">
      <c r="A8" s="72"/>
      <c r="B8" s="71" t="s">
        <v>1598</v>
      </c>
      <c r="C8" s="74" t="s">
        <v>2074</v>
      </c>
      <c r="D8" s="72"/>
      <c r="E8" s="74" t="s">
        <v>1599</v>
      </c>
      <c r="F8" s="75" t="s">
        <v>1600</v>
      </c>
      <c r="G8" s="74" t="s">
        <v>2075</v>
      </c>
      <c r="H8" s="74" t="s">
        <v>1597</v>
      </c>
    </row>
    <row r="9" spans="1:8">
      <c r="A9" s="65"/>
      <c r="B9" s="65"/>
      <c r="C9" s="67"/>
      <c r="D9" s="65"/>
      <c r="E9" s="65"/>
      <c r="F9" s="65"/>
      <c r="G9" s="65"/>
      <c r="H9" s="65"/>
    </row>
    <row r="10" spans="1:8">
      <c r="A10" s="65"/>
      <c r="B10" s="65"/>
      <c r="C10" s="65"/>
      <c r="D10" s="65"/>
      <c r="E10" s="65"/>
      <c r="F10" s="65"/>
      <c r="G10" s="65"/>
      <c r="H10" s="65"/>
    </row>
    <row r="11" spans="1:8">
      <c r="A11" s="65"/>
      <c r="B11" s="65"/>
      <c r="C11" s="65"/>
      <c r="D11" s="65"/>
      <c r="E11" s="65"/>
      <c r="F11" s="65"/>
      <c r="G11" s="65"/>
      <c r="H11" s="65"/>
    </row>
    <row r="12" spans="1:8">
      <c r="A12" s="65"/>
      <c r="B12" s="65"/>
      <c r="C12" s="65"/>
      <c r="D12" s="65"/>
      <c r="E12" s="65"/>
      <c r="F12" s="65"/>
      <c r="G12" s="65"/>
      <c r="H12" s="65"/>
    </row>
    <row r="13" spans="1:8">
      <c r="A13" s="65"/>
      <c r="B13" s="65"/>
      <c r="C13" s="65"/>
      <c r="D13" s="65"/>
      <c r="E13" s="65"/>
      <c r="F13" s="65"/>
      <c r="G13" s="65"/>
      <c r="H13" s="65"/>
    </row>
    <row r="14" spans="1:8">
      <c r="A14" s="65"/>
      <c r="B14" s="65"/>
      <c r="C14" s="65"/>
      <c r="D14" s="65"/>
      <c r="E14" s="65"/>
      <c r="F14" s="65"/>
      <c r="G14" s="65"/>
      <c r="H14" s="65"/>
    </row>
    <row r="15" spans="1:8">
      <c r="A15" s="65"/>
      <c r="B15" s="65"/>
      <c r="C15" s="65"/>
      <c r="D15" s="65"/>
      <c r="E15" s="65"/>
      <c r="F15" s="65"/>
      <c r="G15" s="65"/>
      <c r="H15" s="65"/>
    </row>
    <row r="16" spans="1:8">
      <c r="A16" s="65"/>
      <c r="B16" s="65"/>
      <c r="C16" s="65"/>
      <c r="D16" s="65"/>
      <c r="E16" s="65"/>
      <c r="F16" s="65"/>
      <c r="G16" s="65"/>
      <c r="H16" s="65"/>
    </row>
    <row r="17" spans="1:8">
      <c r="A17" s="65"/>
      <c r="B17" s="65"/>
      <c r="C17" s="65"/>
      <c r="D17" s="65"/>
      <c r="E17" s="65"/>
      <c r="F17" s="65"/>
      <c r="G17" s="65"/>
      <c r="H17" s="65"/>
    </row>
  </sheetData>
  <pageMargins left="0.7" right="0.7" top="0.75" bottom="0.75" header="0.3" footer="0.3"/>
  <pageSetup orientation="landscape" r:id="rId1"/>
  <headerFooter>
    <oddFooter>&amp;LBusiness Architecture Guild Copyright 2019 &amp;RFinancial Services Reference Model v2.0</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zoomScale="80" zoomScaleNormal="80" zoomScalePageLayoutView="110" workbookViewId="0"/>
  </sheetViews>
  <sheetFormatPr defaultColWidth="8.7265625" defaultRowHeight="15.5"/>
  <cols>
    <col min="1" max="1" width="14.453125" style="32" customWidth="1"/>
    <col min="2" max="2" width="19" style="32" customWidth="1"/>
    <col min="3" max="3" width="50.54296875" style="32" customWidth="1"/>
    <col min="4" max="4" width="21.54296875" style="32" customWidth="1"/>
    <col min="5" max="5" width="17.7265625" style="32" customWidth="1"/>
    <col min="6" max="6" width="20.26953125" style="32" customWidth="1"/>
    <col min="7" max="7" width="22.54296875" style="32" customWidth="1"/>
    <col min="8" max="8" width="25.7265625" style="32" customWidth="1"/>
    <col min="9" max="16384" width="8.7265625" style="32"/>
  </cols>
  <sheetData>
    <row r="1" spans="1:8" s="70" customFormat="1">
      <c r="A1" s="68" t="s">
        <v>5</v>
      </c>
      <c r="B1" s="68" t="s">
        <v>10</v>
      </c>
      <c r="C1" s="68" t="s">
        <v>4</v>
      </c>
      <c r="D1" s="68" t="s">
        <v>9</v>
      </c>
      <c r="E1" s="68" t="s">
        <v>8</v>
      </c>
      <c r="F1" s="68" t="s">
        <v>6</v>
      </c>
      <c r="G1" s="68" t="s">
        <v>7</v>
      </c>
      <c r="H1" s="69" t="s">
        <v>11</v>
      </c>
    </row>
    <row r="2" spans="1:8" ht="62">
      <c r="A2" s="71" t="s">
        <v>2076</v>
      </c>
      <c r="B2" s="72"/>
      <c r="C2" s="74" t="s">
        <v>1070</v>
      </c>
      <c r="D2" s="74" t="s">
        <v>1601</v>
      </c>
      <c r="E2" s="72"/>
      <c r="F2" s="72"/>
      <c r="G2" s="72"/>
      <c r="H2" s="74" t="s">
        <v>1602</v>
      </c>
    </row>
    <row r="3" spans="1:8" ht="46.5">
      <c r="A3" s="72"/>
      <c r="B3" s="71" t="s">
        <v>1603</v>
      </c>
      <c r="C3" s="71" t="s">
        <v>2077</v>
      </c>
      <c r="D3" s="72"/>
      <c r="E3" s="74" t="s">
        <v>1604</v>
      </c>
      <c r="F3" s="74" t="s">
        <v>1605</v>
      </c>
      <c r="G3" s="74" t="s">
        <v>2078</v>
      </c>
      <c r="H3" s="74" t="s">
        <v>1606</v>
      </c>
    </row>
    <row r="4" spans="1:8" ht="50.25" customHeight="1">
      <c r="A4" s="72"/>
      <c r="B4" s="71" t="s">
        <v>1607</v>
      </c>
      <c r="C4" s="71" t="s">
        <v>2079</v>
      </c>
      <c r="D4" s="72"/>
      <c r="E4" s="74" t="s">
        <v>1605</v>
      </c>
      <c r="F4" s="74" t="s">
        <v>1608</v>
      </c>
      <c r="G4" s="74" t="s">
        <v>2080</v>
      </c>
      <c r="H4" s="74" t="s">
        <v>1609</v>
      </c>
    </row>
    <row r="5" spans="1:8" ht="54" customHeight="1">
      <c r="A5" s="72"/>
      <c r="B5" s="73" t="s">
        <v>1610</v>
      </c>
      <c r="C5" s="71" t="s">
        <v>2081</v>
      </c>
      <c r="D5" s="72"/>
      <c r="E5" s="74" t="s">
        <v>1608</v>
      </c>
      <c r="F5" s="74" t="s">
        <v>1611</v>
      </c>
      <c r="G5" s="74" t="s">
        <v>2082</v>
      </c>
      <c r="H5" s="74" t="s">
        <v>1612</v>
      </c>
    </row>
    <row r="6" spans="1:8" ht="52.5" customHeight="1">
      <c r="A6" s="72"/>
      <c r="B6" s="73" t="s">
        <v>2083</v>
      </c>
      <c r="C6" s="71" t="s">
        <v>2084</v>
      </c>
      <c r="D6" s="72"/>
      <c r="E6" s="74" t="s">
        <v>1611</v>
      </c>
      <c r="F6" s="74" t="s">
        <v>1613</v>
      </c>
      <c r="G6" s="74" t="s">
        <v>2085</v>
      </c>
      <c r="H6" s="74" t="s">
        <v>1614</v>
      </c>
    </row>
    <row r="7" spans="1:8" ht="40.5" customHeight="1">
      <c r="A7" s="72"/>
      <c r="B7" s="71" t="s">
        <v>2086</v>
      </c>
      <c r="C7" s="71" t="s">
        <v>2087</v>
      </c>
      <c r="D7" s="72"/>
      <c r="E7" s="74" t="s">
        <v>1613</v>
      </c>
      <c r="F7" s="74" t="s">
        <v>1615</v>
      </c>
      <c r="G7" s="74" t="s">
        <v>2088</v>
      </c>
      <c r="H7" s="74" t="s">
        <v>1616</v>
      </c>
    </row>
    <row r="8" spans="1:8">
      <c r="A8" s="65"/>
      <c r="B8" s="65"/>
      <c r="C8" s="65"/>
      <c r="D8" s="65"/>
      <c r="E8" s="65"/>
      <c r="F8" s="65"/>
      <c r="G8" s="65"/>
      <c r="H8" s="65"/>
    </row>
    <row r="9" spans="1:8">
      <c r="A9" s="65"/>
      <c r="B9" s="65"/>
      <c r="C9" s="67"/>
      <c r="D9" s="65"/>
      <c r="E9" s="65"/>
      <c r="F9" s="65"/>
      <c r="G9" s="65"/>
      <c r="H9" s="65"/>
    </row>
    <row r="10" spans="1:8">
      <c r="A10" s="65"/>
      <c r="B10" s="65"/>
      <c r="C10" s="65"/>
      <c r="D10" s="65"/>
      <c r="E10" s="65"/>
      <c r="F10" s="65"/>
      <c r="G10" s="65"/>
      <c r="H10" s="65"/>
    </row>
    <row r="11" spans="1:8">
      <c r="A11" s="65"/>
      <c r="B11" s="65"/>
      <c r="C11" s="65"/>
      <c r="D11" s="65"/>
      <c r="E11" s="65"/>
      <c r="F11" s="65"/>
      <c r="G11" s="65"/>
      <c r="H11" s="65"/>
    </row>
    <row r="12" spans="1:8">
      <c r="A12" s="65"/>
      <c r="B12" s="65"/>
      <c r="C12" s="65"/>
      <c r="D12" s="65"/>
      <c r="E12" s="65"/>
      <c r="F12" s="65"/>
      <c r="G12" s="65"/>
      <c r="H12" s="65"/>
    </row>
    <row r="13" spans="1:8">
      <c r="A13" s="65"/>
      <c r="B13" s="65"/>
      <c r="C13" s="65"/>
      <c r="D13" s="65"/>
      <c r="E13" s="65"/>
      <c r="F13" s="65"/>
      <c r="G13" s="65"/>
      <c r="H13" s="65"/>
    </row>
    <row r="14" spans="1:8">
      <c r="A14" s="65"/>
      <c r="B14" s="65"/>
      <c r="C14" s="65"/>
      <c r="D14" s="65"/>
      <c r="E14" s="65"/>
      <c r="F14" s="65"/>
      <c r="G14" s="65"/>
      <c r="H14" s="65"/>
    </row>
    <row r="15" spans="1:8">
      <c r="A15" s="65"/>
      <c r="B15" s="65"/>
      <c r="C15" s="65"/>
      <c r="D15" s="65"/>
      <c r="E15" s="65"/>
      <c r="F15" s="65"/>
      <c r="G15" s="65"/>
      <c r="H15" s="65"/>
    </row>
    <row r="16" spans="1:8">
      <c r="A16" s="65"/>
      <c r="B16" s="65"/>
      <c r="C16" s="65"/>
      <c r="D16" s="65"/>
      <c r="E16" s="65"/>
      <c r="F16" s="65"/>
      <c r="G16" s="65"/>
      <c r="H16" s="65"/>
    </row>
    <row r="17" spans="1:8">
      <c r="A17" s="65"/>
      <c r="B17" s="65"/>
      <c r="C17" s="65"/>
      <c r="D17" s="65"/>
      <c r="E17" s="65"/>
      <c r="F17" s="65"/>
      <c r="G17" s="65"/>
      <c r="H17" s="65"/>
    </row>
  </sheetData>
  <pageMargins left="0.7" right="0.7" top="0.75" bottom="0.75" header="0.3" footer="0.3"/>
  <pageSetup orientation="landscape" r:id="rId1"/>
  <headerFooter>
    <oddFooter>&amp;LBusiness Architecture Guild Copyright 2019 &amp;RFinancial Services Reference Model v2.0</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7"/>
  <sheetViews>
    <sheetView zoomScale="80" zoomScaleNormal="80" zoomScalePageLayoutView="110" workbookViewId="0"/>
  </sheetViews>
  <sheetFormatPr defaultColWidth="8.7265625" defaultRowHeight="15.5"/>
  <cols>
    <col min="1" max="1" width="17.1796875" style="32" customWidth="1"/>
    <col min="2" max="2" width="18" style="32" customWidth="1"/>
    <col min="3" max="3" width="48.6328125" style="32" customWidth="1"/>
    <col min="4" max="4" width="29.7265625" style="32" customWidth="1"/>
    <col min="5" max="5" width="20.7265625" style="32" customWidth="1"/>
    <col min="6" max="6" width="20.26953125" style="32" customWidth="1"/>
    <col min="7" max="7" width="21.7265625" style="32" customWidth="1"/>
    <col min="8" max="8" width="29.7265625" style="32" customWidth="1"/>
    <col min="9" max="16384" width="8.7265625" style="32"/>
  </cols>
  <sheetData>
    <row r="1" spans="1:8" s="70" customFormat="1" ht="31">
      <c r="A1" s="68" t="s">
        <v>5</v>
      </c>
      <c r="B1" s="68" t="s">
        <v>10</v>
      </c>
      <c r="C1" s="68" t="s">
        <v>4</v>
      </c>
      <c r="D1" s="68" t="s">
        <v>9</v>
      </c>
      <c r="E1" s="68" t="s">
        <v>8</v>
      </c>
      <c r="F1" s="68" t="s">
        <v>6</v>
      </c>
      <c r="G1" s="68" t="s">
        <v>7</v>
      </c>
      <c r="H1" s="69" t="s">
        <v>11</v>
      </c>
    </row>
    <row r="2" spans="1:8" ht="81.5" customHeight="1">
      <c r="A2" s="71" t="s">
        <v>1071</v>
      </c>
      <c r="B2" s="72"/>
      <c r="C2" s="73" t="s">
        <v>2089</v>
      </c>
      <c r="D2" s="73" t="s">
        <v>2090</v>
      </c>
      <c r="E2" s="72"/>
      <c r="F2" s="72"/>
      <c r="G2" s="72"/>
      <c r="H2" s="71" t="s">
        <v>1617</v>
      </c>
    </row>
    <row r="3" spans="1:8" ht="46.5">
      <c r="A3" s="72"/>
      <c r="B3" s="74" t="s">
        <v>1618</v>
      </c>
      <c r="C3" s="74" t="s">
        <v>2091</v>
      </c>
      <c r="D3" s="72"/>
      <c r="E3" s="74" t="s">
        <v>1619</v>
      </c>
      <c r="F3" s="74" t="s">
        <v>1620</v>
      </c>
      <c r="G3" s="74" t="s">
        <v>2092</v>
      </c>
      <c r="H3" s="71" t="s">
        <v>1617</v>
      </c>
    </row>
    <row r="4" spans="1:8" ht="62">
      <c r="A4" s="72"/>
      <c r="B4" s="73" t="s">
        <v>1621</v>
      </c>
      <c r="C4" s="73" t="s">
        <v>3194</v>
      </c>
      <c r="D4" s="72"/>
      <c r="E4" s="74" t="s">
        <v>1622</v>
      </c>
      <c r="F4" s="74" t="s">
        <v>2093</v>
      </c>
      <c r="G4" s="74" t="s">
        <v>2094</v>
      </c>
      <c r="H4" s="71" t="s">
        <v>1623</v>
      </c>
    </row>
    <row r="5" spans="1:8" ht="51.5" customHeight="1">
      <c r="A5" s="72"/>
      <c r="B5" s="71" t="s">
        <v>1624</v>
      </c>
      <c r="C5" s="71" t="s">
        <v>2095</v>
      </c>
      <c r="D5" s="72"/>
      <c r="E5" s="74" t="s">
        <v>2093</v>
      </c>
      <c r="F5" s="74" t="s">
        <v>2096</v>
      </c>
      <c r="G5" s="74" t="s">
        <v>2097</v>
      </c>
      <c r="H5" s="71" t="s">
        <v>1625</v>
      </c>
    </row>
    <row r="6" spans="1:8" ht="77.5">
      <c r="A6" s="72"/>
      <c r="B6" s="71" t="s">
        <v>1626</v>
      </c>
      <c r="C6" s="71" t="s">
        <v>2098</v>
      </c>
      <c r="D6" s="72"/>
      <c r="E6" s="71" t="s">
        <v>2096</v>
      </c>
      <c r="F6" s="71" t="s">
        <v>2099</v>
      </c>
      <c r="G6" s="71" t="s">
        <v>2100</v>
      </c>
      <c r="H6" s="71" t="s">
        <v>1627</v>
      </c>
    </row>
    <row r="7" spans="1:8" ht="62">
      <c r="A7" s="72"/>
      <c r="B7" s="71" t="s">
        <v>1628</v>
      </c>
      <c r="C7" s="71" t="s">
        <v>2101</v>
      </c>
      <c r="D7" s="72"/>
      <c r="E7" s="71" t="s">
        <v>2099</v>
      </c>
      <c r="F7" s="71" t="s">
        <v>2102</v>
      </c>
      <c r="G7" s="71" t="s">
        <v>3195</v>
      </c>
      <c r="H7" s="71" t="s">
        <v>1629</v>
      </c>
    </row>
    <row r="8" spans="1:8">
      <c r="A8" s="65"/>
      <c r="B8" s="65"/>
      <c r="C8" s="65"/>
      <c r="D8" s="65"/>
      <c r="E8" s="65"/>
      <c r="F8" s="65"/>
      <c r="G8" s="65"/>
      <c r="H8" s="65"/>
    </row>
    <row r="9" spans="1:8">
      <c r="A9" s="65"/>
      <c r="B9" s="65"/>
      <c r="C9" s="67"/>
      <c r="D9" s="65"/>
      <c r="E9" s="65"/>
      <c r="F9" s="65"/>
      <c r="G9" s="65"/>
      <c r="H9" s="65"/>
    </row>
    <row r="10" spans="1:8">
      <c r="A10" s="65"/>
      <c r="B10" s="65"/>
      <c r="C10" s="65"/>
      <c r="D10" s="65"/>
      <c r="E10" s="65"/>
      <c r="F10" s="65"/>
      <c r="G10" s="65"/>
      <c r="H10" s="65"/>
    </row>
    <row r="11" spans="1:8">
      <c r="A11" s="65"/>
      <c r="B11" s="65"/>
      <c r="C11" s="65"/>
      <c r="D11" s="65"/>
      <c r="E11" s="65"/>
      <c r="F11" s="65"/>
      <c r="G11" s="65"/>
      <c r="H11" s="65"/>
    </row>
    <row r="12" spans="1:8">
      <c r="A12" s="65"/>
      <c r="B12" s="65"/>
      <c r="C12" s="65"/>
      <c r="D12" s="65"/>
      <c r="E12" s="65"/>
      <c r="F12" s="65"/>
      <c r="G12" s="65"/>
      <c r="H12" s="65"/>
    </row>
    <row r="13" spans="1:8">
      <c r="A13" s="65"/>
      <c r="B13" s="65"/>
      <c r="C13" s="65"/>
      <c r="D13" s="65"/>
      <c r="E13" s="65"/>
      <c r="F13" s="65"/>
      <c r="G13" s="65"/>
      <c r="H13" s="65"/>
    </row>
    <row r="14" spans="1:8">
      <c r="A14" s="65"/>
      <c r="B14" s="65"/>
      <c r="C14" s="65"/>
      <c r="D14" s="65"/>
      <c r="E14" s="65"/>
      <c r="F14" s="65"/>
      <c r="G14" s="65"/>
      <c r="H14" s="65"/>
    </row>
    <row r="15" spans="1:8">
      <c r="A15" s="65"/>
      <c r="B15" s="65"/>
      <c r="C15" s="65"/>
      <c r="D15" s="65"/>
      <c r="E15" s="65"/>
      <c r="F15" s="65"/>
      <c r="G15" s="65"/>
      <c r="H15" s="65"/>
    </row>
    <row r="16" spans="1:8">
      <c r="A16" s="65"/>
      <c r="B16" s="65"/>
      <c r="C16" s="65"/>
      <c r="D16" s="65"/>
      <c r="E16" s="65"/>
      <c r="F16" s="65"/>
      <c r="G16" s="65"/>
      <c r="H16" s="65"/>
    </row>
    <row r="17" spans="1:8">
      <c r="A17" s="65"/>
      <c r="B17" s="65"/>
      <c r="C17" s="65"/>
      <c r="D17" s="65"/>
      <c r="E17" s="65"/>
      <c r="F17" s="65"/>
      <c r="G17" s="65"/>
      <c r="H17" s="65"/>
    </row>
  </sheetData>
  <pageMargins left="0.7" right="0.7" top="0.75" bottom="0.75" header="0.3" footer="0.3"/>
  <pageSetup orientation="landscape" r:id="rId1"/>
  <headerFooter>
    <oddFooter>&amp;LBusiness Architecture Guild Copyright 2019 &amp;RFinancial Services Reference Model v2.0</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6"/>
  <sheetViews>
    <sheetView zoomScale="80" zoomScaleNormal="80" zoomScalePageLayoutView="110" workbookViewId="0"/>
  </sheetViews>
  <sheetFormatPr defaultColWidth="8.7265625" defaultRowHeight="15.5"/>
  <cols>
    <col min="1" max="1" width="17.1796875" style="32" customWidth="1"/>
    <col min="2" max="2" width="23.453125" style="32" customWidth="1"/>
    <col min="3" max="3" width="50.54296875" style="32" customWidth="1"/>
    <col min="4" max="4" width="22.54296875" style="32" customWidth="1"/>
    <col min="5" max="5" width="17.81640625" style="32" customWidth="1"/>
    <col min="6" max="6" width="20.26953125" style="32" customWidth="1"/>
    <col min="7" max="7" width="18" style="32" customWidth="1"/>
    <col min="8" max="8" width="21.81640625" style="32" customWidth="1"/>
    <col min="9" max="16384" width="8.7265625" style="32"/>
  </cols>
  <sheetData>
    <row r="1" spans="1:8" s="70" customFormat="1">
      <c r="A1" s="68" t="s">
        <v>5</v>
      </c>
      <c r="B1" s="68" t="s">
        <v>10</v>
      </c>
      <c r="C1" s="68" t="s">
        <v>4</v>
      </c>
      <c r="D1" s="68" t="s">
        <v>9</v>
      </c>
      <c r="E1" s="68" t="s">
        <v>8</v>
      </c>
      <c r="F1" s="68" t="s">
        <v>6</v>
      </c>
      <c r="G1" s="68" t="s">
        <v>7</v>
      </c>
      <c r="H1" s="69" t="s">
        <v>11</v>
      </c>
    </row>
    <row r="2" spans="1:8" ht="77.5">
      <c r="A2" s="71" t="s">
        <v>1630</v>
      </c>
      <c r="B2" s="72"/>
      <c r="C2" s="71" t="s">
        <v>2103</v>
      </c>
      <c r="D2" s="71" t="s">
        <v>1631</v>
      </c>
      <c r="E2" s="72"/>
      <c r="F2" s="72"/>
      <c r="G2" s="72"/>
      <c r="H2" s="73" t="s">
        <v>2104</v>
      </c>
    </row>
    <row r="3" spans="1:8" ht="46.5">
      <c r="A3" s="72"/>
      <c r="B3" s="71" t="s">
        <v>1632</v>
      </c>
      <c r="C3" s="71" t="s">
        <v>1633</v>
      </c>
      <c r="D3" s="72"/>
      <c r="E3" s="71" t="s">
        <v>1634</v>
      </c>
      <c r="F3" s="71" t="s">
        <v>1635</v>
      </c>
      <c r="G3" s="71" t="s">
        <v>2105</v>
      </c>
      <c r="H3" s="73" t="s">
        <v>2104</v>
      </c>
    </row>
    <row r="4" spans="1:8" ht="46.5">
      <c r="A4" s="72"/>
      <c r="B4" s="71" t="s">
        <v>1636</v>
      </c>
      <c r="C4" s="71" t="s">
        <v>1637</v>
      </c>
      <c r="D4" s="72"/>
      <c r="E4" s="71" t="s">
        <v>1638</v>
      </c>
      <c r="F4" s="71" t="s">
        <v>1639</v>
      </c>
      <c r="G4" s="71" t="s">
        <v>2106</v>
      </c>
      <c r="H4" s="73" t="s">
        <v>2104</v>
      </c>
    </row>
    <row r="5" spans="1:8" ht="46.5">
      <c r="A5" s="72"/>
      <c r="B5" s="71" t="s">
        <v>1640</v>
      </c>
      <c r="C5" s="71" t="s">
        <v>1641</v>
      </c>
      <c r="D5" s="72"/>
      <c r="E5" s="71" t="s">
        <v>1639</v>
      </c>
      <c r="F5" s="71" t="s">
        <v>1642</v>
      </c>
      <c r="G5" s="71" t="s">
        <v>2107</v>
      </c>
      <c r="H5" s="73" t="s">
        <v>2104</v>
      </c>
    </row>
    <row r="6" spans="1:8" ht="46.5">
      <c r="A6" s="72"/>
      <c r="B6" s="71" t="s">
        <v>1643</v>
      </c>
      <c r="C6" s="71" t="s">
        <v>1644</v>
      </c>
      <c r="D6" s="72"/>
      <c r="E6" s="71" t="s">
        <v>1642</v>
      </c>
      <c r="F6" s="71" t="s">
        <v>1645</v>
      </c>
      <c r="G6" s="71" t="s">
        <v>2108</v>
      </c>
      <c r="H6" s="73" t="s">
        <v>2104</v>
      </c>
    </row>
  </sheetData>
  <pageMargins left="0.7" right="0.7" top="0.75" bottom="0.75" header="0.3" footer="0.3"/>
  <pageSetup fitToHeight="1000" orientation="landscape" r:id="rId1"/>
  <headerFooter>
    <oddFooter>&amp;LBusiness Architecture Guild Copyright 2019 &amp;RFinancial Services Reference Model v2.0</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7"/>
  <sheetViews>
    <sheetView zoomScale="80" zoomScaleNormal="80" zoomScalePageLayoutView="110" workbookViewId="0">
      <selection activeCell="A2" sqref="A2"/>
    </sheetView>
  </sheetViews>
  <sheetFormatPr defaultColWidth="8.81640625" defaultRowHeight="14.5"/>
  <cols>
    <col min="1" max="2" width="14.26953125" style="84" customWidth="1"/>
    <col min="3" max="3" width="43.81640625" style="84" bestFit="1" customWidth="1"/>
    <col min="4" max="4" width="29" style="84" customWidth="1"/>
    <col min="5" max="5" width="17.54296875" style="84" bestFit="1" customWidth="1"/>
    <col min="6" max="6" width="11.7265625" style="84" bestFit="1" customWidth="1"/>
    <col min="7" max="7" width="16.453125" style="84" customWidth="1"/>
    <col min="8" max="8" width="22.26953125" style="84" customWidth="1"/>
    <col min="9" max="16384" width="8.81640625" style="84"/>
  </cols>
  <sheetData>
    <row r="1" spans="1:8" s="90" customFormat="1" ht="36.5" customHeight="1">
      <c r="A1" s="88" t="s">
        <v>5</v>
      </c>
      <c r="B1" s="88" t="s">
        <v>10</v>
      </c>
      <c r="C1" s="88" t="s">
        <v>4</v>
      </c>
      <c r="D1" s="88" t="s">
        <v>9</v>
      </c>
      <c r="E1" s="88" t="s">
        <v>8</v>
      </c>
      <c r="F1" s="88" t="s">
        <v>6</v>
      </c>
      <c r="G1" s="88" t="s">
        <v>7</v>
      </c>
      <c r="H1" s="89" t="s">
        <v>11</v>
      </c>
    </row>
    <row r="2" spans="1:8" ht="68.25" customHeight="1">
      <c r="A2" s="71" t="s">
        <v>3014</v>
      </c>
      <c r="B2" s="72"/>
      <c r="C2" s="71" t="s">
        <v>3015</v>
      </c>
      <c r="D2" s="71" t="s">
        <v>3016</v>
      </c>
      <c r="E2" s="72"/>
      <c r="F2" s="72"/>
      <c r="G2" s="72"/>
      <c r="H2" s="71" t="s">
        <v>3017</v>
      </c>
    </row>
    <row r="3" spans="1:8" ht="46.5">
      <c r="A3" s="91"/>
      <c r="B3" s="71" t="s">
        <v>3018</v>
      </c>
      <c r="C3" s="71" t="s">
        <v>3019</v>
      </c>
      <c r="D3" s="72"/>
      <c r="E3" s="71" t="s">
        <v>3020</v>
      </c>
      <c r="F3" s="71" t="s">
        <v>3021</v>
      </c>
      <c r="G3" s="71" t="s">
        <v>3022</v>
      </c>
      <c r="H3" s="71" t="s">
        <v>3023</v>
      </c>
    </row>
    <row r="4" spans="1:8" ht="46.5">
      <c r="A4" s="91"/>
      <c r="B4" s="71" t="s">
        <v>3024</v>
      </c>
      <c r="C4" s="71" t="s">
        <v>3025</v>
      </c>
      <c r="D4" s="72"/>
      <c r="E4" s="71" t="s">
        <v>3026</v>
      </c>
      <c r="F4" s="71" t="s">
        <v>3027</v>
      </c>
      <c r="G4" s="71" t="s">
        <v>3028</v>
      </c>
      <c r="H4" s="71" t="s">
        <v>3029</v>
      </c>
    </row>
    <row r="5" spans="1:8" ht="59.25" customHeight="1">
      <c r="A5" s="91"/>
      <c r="B5" s="71" t="s">
        <v>3030</v>
      </c>
      <c r="C5" s="71" t="s">
        <v>3031</v>
      </c>
      <c r="D5" s="72"/>
      <c r="E5" s="71" t="s">
        <v>3027</v>
      </c>
      <c r="F5" s="71" t="s">
        <v>3032</v>
      </c>
      <c r="G5" s="71" t="s">
        <v>3033</v>
      </c>
      <c r="H5" s="71" t="s">
        <v>3034</v>
      </c>
    </row>
    <row r="6" spans="1:8" ht="43" customHeight="1">
      <c r="A6" s="91"/>
      <c r="B6" s="71" t="s">
        <v>3035</v>
      </c>
      <c r="C6" s="71" t="s">
        <v>3036</v>
      </c>
      <c r="D6" s="72"/>
      <c r="E6" s="71" t="s">
        <v>3032</v>
      </c>
      <c r="F6" s="71" t="s">
        <v>3037</v>
      </c>
      <c r="G6" s="71" t="s">
        <v>3038</v>
      </c>
      <c r="H6" s="71" t="s">
        <v>3034</v>
      </c>
    </row>
    <row r="7" spans="1:8" ht="46.5">
      <c r="A7" s="91"/>
      <c r="B7" s="71" t="s">
        <v>3039</v>
      </c>
      <c r="C7" s="71" t="s">
        <v>3040</v>
      </c>
      <c r="D7" s="72"/>
      <c r="E7" s="71" t="s">
        <v>3037</v>
      </c>
      <c r="F7" s="71" t="s">
        <v>3041</v>
      </c>
      <c r="G7" s="71" t="s">
        <v>3042</v>
      </c>
      <c r="H7" s="71" t="s">
        <v>3017</v>
      </c>
    </row>
    <row r="8" spans="1:8">
      <c r="A8" s="92"/>
      <c r="B8" s="92"/>
      <c r="C8" s="92"/>
      <c r="D8" s="92"/>
      <c r="E8" s="92"/>
      <c r="F8" s="92"/>
      <c r="G8" s="92"/>
      <c r="H8" s="92"/>
    </row>
    <row r="9" spans="1:8">
      <c r="A9" s="92"/>
      <c r="B9" s="92"/>
      <c r="C9" s="93"/>
      <c r="D9" s="92"/>
      <c r="E9" s="92"/>
      <c r="F9" s="92"/>
      <c r="G9" s="92"/>
      <c r="H9" s="92"/>
    </row>
    <row r="10" spans="1:8">
      <c r="A10" s="92"/>
      <c r="B10" s="92"/>
      <c r="C10" s="92"/>
      <c r="D10" s="92"/>
      <c r="E10" s="92"/>
      <c r="F10" s="92"/>
      <c r="G10" s="92"/>
      <c r="H10" s="92"/>
    </row>
    <row r="11" spans="1:8">
      <c r="A11" s="92"/>
      <c r="B11" s="92"/>
      <c r="C11" s="92"/>
      <c r="D11" s="92"/>
      <c r="E11" s="92"/>
      <c r="F11" s="92"/>
      <c r="G11" s="92"/>
      <c r="H11" s="92"/>
    </row>
    <row r="12" spans="1:8">
      <c r="A12" s="92"/>
      <c r="B12" s="92"/>
      <c r="C12" s="92"/>
      <c r="D12" s="92"/>
      <c r="E12" s="92"/>
      <c r="F12" s="92"/>
      <c r="G12" s="92"/>
      <c r="H12" s="92"/>
    </row>
    <row r="13" spans="1:8">
      <c r="A13" s="92"/>
      <c r="B13" s="92"/>
      <c r="C13" s="92"/>
      <c r="D13" s="92"/>
      <c r="E13" s="92"/>
      <c r="F13" s="92"/>
      <c r="G13" s="92"/>
      <c r="H13" s="92"/>
    </row>
    <row r="14" spans="1:8">
      <c r="A14" s="92"/>
      <c r="B14" s="92"/>
      <c r="C14" s="92"/>
      <c r="D14" s="92"/>
      <c r="E14" s="92"/>
      <c r="F14" s="92"/>
      <c r="G14" s="92"/>
      <c r="H14" s="92"/>
    </row>
    <row r="15" spans="1:8">
      <c r="A15" s="92"/>
      <c r="B15" s="92"/>
      <c r="C15" s="92"/>
      <c r="D15" s="92"/>
      <c r="E15" s="92"/>
      <c r="F15" s="92"/>
      <c r="G15" s="92"/>
      <c r="H15" s="92"/>
    </row>
    <row r="16" spans="1:8">
      <c r="A16" s="92"/>
      <c r="B16" s="92"/>
      <c r="C16" s="92"/>
      <c r="D16" s="92"/>
      <c r="E16" s="92"/>
      <c r="F16" s="92"/>
      <c r="G16" s="92"/>
      <c r="H16" s="92"/>
    </row>
    <row r="17" spans="1:8">
      <c r="A17" s="92"/>
      <c r="B17" s="92"/>
      <c r="C17" s="92"/>
      <c r="D17" s="92"/>
      <c r="E17" s="92"/>
      <c r="F17" s="92"/>
      <c r="G17" s="92"/>
      <c r="H17" s="92"/>
    </row>
  </sheetData>
  <pageMargins left="0.7" right="0.7" top="0.75" bottom="0.75" header="0.3" footer="0.3"/>
  <pageSetup fitToHeight="1000" orientation="landscape" r:id="rId1"/>
  <headerFooter>
    <oddFooter>&amp;LBusiness Architecture Guild Copyright 2019 &amp;RFinancial Services Reference Model v2.0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vt:i4>
      </vt:variant>
    </vt:vector>
  </HeadingPairs>
  <TitlesOfParts>
    <vt:vector size="40" baseType="lpstr">
      <vt:lpstr>Financial Services Cover Sheet</vt:lpstr>
      <vt:lpstr>Inventory</vt:lpstr>
      <vt:lpstr>Capability Map</vt:lpstr>
      <vt:lpstr>Value Streams Inventory</vt:lpstr>
      <vt:lpstr>Information Map</vt:lpstr>
      <vt:lpstr>Organization Map</vt:lpstr>
      <vt:lpstr>Stakeholder Map</vt:lpstr>
      <vt:lpstr>Establish Financial Agreement</vt:lpstr>
      <vt:lpstr>Develop and Launch Product</vt:lpstr>
      <vt:lpstr>Execute Transaction</vt:lpstr>
      <vt:lpstr>Trade Financial Instrument</vt:lpstr>
      <vt:lpstr>Acquire Servicing Portfolio</vt:lpstr>
      <vt:lpstr>Resolve Issue or Inquiry</vt:lpstr>
      <vt:lpstr>Create Policy</vt:lpstr>
      <vt:lpstr>Acquire Asset</vt:lpstr>
      <vt:lpstr>Conduct Audit</vt:lpstr>
      <vt:lpstr>Deliver Event</vt:lpstr>
      <vt:lpstr>Deliver Program</vt:lpstr>
      <vt:lpstr>Deploy Asset</vt:lpstr>
      <vt:lpstr>Develop Human Resource Career</vt:lpstr>
      <vt:lpstr>Disseminate Information</vt:lpstr>
      <vt:lpstr>Ensure Compliance</vt:lpstr>
      <vt:lpstr>Execute Campaign</vt:lpstr>
      <vt:lpstr>Onboard Human Resource</vt:lpstr>
      <vt:lpstr>Optimize Investments</vt:lpstr>
      <vt:lpstr>Report Financials</vt:lpstr>
      <vt:lpstr>Settle Accounts</vt:lpstr>
      <vt:lpstr>Onboard Partner</vt:lpstr>
      <vt:lpstr>'Acquire Asset'!Print_Area</vt:lpstr>
      <vt:lpstr>'Acquire Servicing Portfolio'!Print_Area</vt:lpstr>
      <vt:lpstr>'Create Policy'!Print_Area</vt:lpstr>
      <vt:lpstr>'Develop and Launch Product'!Print_Area</vt:lpstr>
      <vt:lpstr>'Establish Financial Agreement'!Print_Area</vt:lpstr>
      <vt:lpstr>'Execute Transaction'!Print_Area</vt:lpstr>
      <vt:lpstr>'Onboard Partner'!Print_Area</vt:lpstr>
      <vt:lpstr>'Resolve Issue or Inquiry'!Print_Area</vt:lpstr>
      <vt:lpstr>'Settle Accounts'!Print_Area</vt:lpstr>
      <vt:lpstr>'Stakeholder Map'!Print_Area</vt:lpstr>
      <vt:lpstr>'Trade Financial Instrument'!Print_Area</vt:lpstr>
      <vt:lpstr>'Value Streams Inventory'!Print_Area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Ulrich</dc:creator>
  <cp:lastModifiedBy>William Ulrich</cp:lastModifiedBy>
  <cp:lastPrinted>2019-07-01T15:32:40Z</cp:lastPrinted>
  <dcterms:created xsi:type="dcterms:W3CDTF">2015-10-20T16:27:14Z</dcterms:created>
  <dcterms:modified xsi:type="dcterms:W3CDTF">2019-07-01T15:32:47Z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