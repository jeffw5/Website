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showInkAnnotation="0" autoCompressPictures="0"/>
  <mc:AlternateContent xmlns:mc="http://schemas.openxmlformats.org/markup-compatibility/2006">
    <mc:Choice Requires="x15">
      <x15ac:absPath xmlns:x15ac="http://schemas.microsoft.com/office/spreadsheetml/2010/11/ac" url="/Users/jeffrey/Documents/Org - BA Guild/Requirements/White Paper/"/>
    </mc:Choice>
  </mc:AlternateContent>
  <xr:revisionPtr revIDLastSave="0" documentId="13_ncr:1_{39663EC9-D566-0842-ACB4-C54E2BBB2069}" xr6:coauthVersionLast="43" xr6:coauthVersionMax="43" xr10:uidLastSave="{00000000-0000-0000-0000-000000000000}"/>
  <bookViews>
    <workbookView xWindow="19520" yWindow="1740" windowWidth="28060" windowHeight="17540" tabRatio="552" activeTab="1" xr2:uid="{00000000-000D-0000-FFFF-FFFF00000000}"/>
  </bookViews>
  <sheets>
    <sheet name="Personas &amp; Scenarios" sheetId="45" r:id="rId1"/>
    <sheet name="Journey Map Template" sheetId="46" r:id="rId2"/>
    <sheet name="CHART DATA - DO NOT ALTER" sheetId="17" state="hidden" r:id="rId3"/>
  </sheet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A11" i="17" l="1"/>
  <c r="F33" i="17"/>
  <c r="A6" i="17"/>
  <c r="F28" i="17"/>
  <c r="A7" i="17"/>
  <c r="D29" i="17"/>
  <c r="A8" i="17"/>
  <c r="B30" i="17"/>
  <c r="A9" i="17"/>
  <c r="F31" i="17"/>
  <c r="A10" i="17"/>
  <c r="A21" i="17"/>
  <c r="A32" i="17"/>
  <c r="A5" i="17"/>
  <c r="B27" i="17"/>
  <c r="D33" i="17"/>
  <c r="D28" i="17"/>
  <c r="B28" i="17"/>
  <c r="G4" i="17"/>
  <c r="G14" i="17"/>
  <c r="F4" i="17"/>
  <c r="F14" i="17"/>
  <c r="E4" i="17"/>
  <c r="E14" i="17"/>
  <c r="D4" i="17"/>
  <c r="D14" i="17"/>
  <c r="C4" i="17"/>
  <c r="C14" i="17"/>
  <c r="F25" i="17"/>
  <c r="D25" i="17"/>
  <c r="B25" i="17"/>
  <c r="B4" i="17"/>
  <c r="B14" i="17"/>
  <c r="G11" i="17"/>
  <c r="G10" i="17"/>
  <c r="G21" i="17"/>
  <c r="G9" i="17"/>
  <c r="G20" i="17"/>
  <c r="G8" i="17"/>
  <c r="G19" i="17"/>
  <c r="G7" i="17"/>
  <c r="G18" i="17"/>
  <c r="G6" i="17"/>
  <c r="G17" i="17"/>
  <c r="E11" i="17"/>
  <c r="E10" i="17"/>
  <c r="E21" i="17"/>
  <c r="E9" i="17"/>
  <c r="E20" i="17"/>
  <c r="E8" i="17"/>
  <c r="E19" i="17"/>
  <c r="E7" i="17"/>
  <c r="E18" i="17"/>
  <c r="E6" i="17"/>
  <c r="E17" i="17"/>
  <c r="C11" i="17"/>
  <c r="C10" i="17"/>
  <c r="C21" i="17"/>
  <c r="C22" i="17"/>
  <c r="C9" i="17"/>
  <c r="C20" i="17"/>
  <c r="C8" i="17"/>
  <c r="C19" i="17"/>
  <c r="C7" i="17"/>
  <c r="C18" i="17"/>
  <c r="C6" i="17"/>
  <c r="C17" i="17"/>
  <c r="G5" i="17"/>
  <c r="G16" i="17"/>
  <c r="G15" i="17"/>
  <c r="E5" i="17"/>
  <c r="E16" i="17"/>
  <c r="C5" i="17"/>
  <c r="C16" i="17"/>
  <c r="F11" i="17"/>
  <c r="D11" i="17"/>
  <c r="B11" i="17"/>
  <c r="F9" i="17"/>
  <c r="F20" i="17"/>
  <c r="F8" i="17"/>
  <c r="F19" i="17"/>
  <c r="F10" i="17"/>
  <c r="F21" i="17"/>
  <c r="F7" i="17"/>
  <c r="F18" i="17"/>
  <c r="F6" i="17"/>
  <c r="F17" i="17"/>
  <c r="D10" i="17"/>
  <c r="D21" i="17"/>
  <c r="D9" i="17"/>
  <c r="D20" i="17"/>
  <c r="D8" i="17"/>
  <c r="D19" i="17"/>
  <c r="D7" i="17"/>
  <c r="D18" i="17"/>
  <c r="D6" i="17"/>
  <c r="D17" i="17"/>
  <c r="F5" i="17"/>
  <c r="F16" i="17"/>
  <c r="D5" i="17"/>
  <c r="D16" i="17"/>
  <c r="D15" i="17"/>
  <c r="B10" i="17"/>
  <c r="B21" i="17"/>
  <c r="B9" i="17"/>
  <c r="B20" i="17"/>
  <c r="B8" i="17"/>
  <c r="B7" i="17"/>
  <c r="B6" i="17"/>
  <c r="B17" i="17"/>
  <c r="B5" i="17"/>
  <c r="B16" i="17"/>
  <c r="M2" i="17"/>
  <c r="A22" i="17"/>
  <c r="A33" i="17"/>
  <c r="B22" i="17"/>
  <c r="B19" i="17"/>
  <c r="B18" i="17"/>
  <c r="A17" i="17"/>
  <c r="A28" i="17"/>
  <c r="A14" i="17"/>
  <c r="A25" i="17"/>
  <c r="G22" i="17"/>
  <c r="D22" i="17"/>
  <c r="F22" i="17"/>
  <c r="E22" i="17"/>
  <c r="D31" i="17"/>
  <c r="A20" i="17"/>
  <c r="A31" i="17"/>
  <c r="B15" i="17"/>
  <c r="E15" i="17"/>
  <c r="B31" i="17"/>
  <c r="B29" i="17"/>
  <c r="B32" i="17"/>
  <c r="B26" i="17"/>
  <c r="F15" i="17"/>
  <c r="F30" i="17"/>
  <c r="F27" i="17"/>
  <c r="F29" i="17"/>
  <c r="F32" i="17"/>
  <c r="B33" i="17"/>
  <c r="C15" i="17"/>
  <c r="A16" i="17"/>
  <c r="A27" i="17"/>
  <c r="D32" i="17"/>
  <c r="D27" i="17"/>
  <c r="A18" i="17"/>
  <c r="A29" i="17"/>
  <c r="D30" i="17"/>
  <c r="A19" i="17"/>
  <c r="A30" i="17"/>
  <c r="F26" i="17"/>
  <c r="D26" i="17"/>
</calcChain>
</file>

<file path=xl/sharedStrings.xml><?xml version="1.0" encoding="utf-8"?>
<sst xmlns="http://schemas.openxmlformats.org/spreadsheetml/2006/main" count="144" uniqueCount="130">
  <si>
    <t>GOALS</t>
  </si>
  <si>
    <t>MOTIVATION &amp; PAIN</t>
  </si>
  <si>
    <t>EMOTIONS</t>
  </si>
  <si>
    <t>INFLUENCERS</t>
  </si>
  <si>
    <t>QUESTIONS</t>
  </si>
  <si>
    <t>NEEDS / WANTS</t>
  </si>
  <si>
    <t>T3</t>
  </si>
  <si>
    <t>T2</t>
  </si>
  <si>
    <t>CONTENT</t>
  </si>
  <si>
    <t>MEASUREMENTS &amp; ANALYTICS</t>
  </si>
  <si>
    <t>Time &amp; Duration ⇢</t>
  </si>
  <si>
    <t>___  Minutes / Wks</t>
  </si>
  <si>
    <t>VOICE OF THE CUSTOMER</t>
  </si>
  <si>
    <t>H2</t>
  </si>
  <si>
    <t>H3</t>
  </si>
  <si>
    <t>H1</t>
  </si>
  <si>
    <t>T4</t>
  </si>
  <si>
    <t>Humalogy Score</t>
  </si>
  <si>
    <t>LOOKUP TO HUMALOGY</t>
  </si>
  <si>
    <t>Stage</t>
  </si>
  <si>
    <t>MATCHUP HUMALOGY TO SCALE</t>
  </si>
  <si>
    <t>Humalogy Scale Throughout Journey</t>
  </si>
  <si>
    <t>Average Humalogy Score</t>
  </si>
  <si>
    <t>LOOKUP VALUES</t>
  </si>
  <si>
    <t>CX Score</t>
  </si>
  <si>
    <t>Average CX Score</t>
  </si>
  <si>
    <t>HUMALOGY BANK</t>
  </si>
  <si>
    <t>T5</t>
  </si>
  <si>
    <t>T1</t>
  </si>
  <si>
    <t>H4</t>
  </si>
  <si>
    <t>H5</t>
  </si>
  <si>
    <t>List of Personas</t>
  </si>
  <si>
    <t>Persona</t>
  </si>
  <si>
    <t>Prioritize Programs</t>
  </si>
  <si>
    <t>Prioritize Projects within a Program</t>
  </si>
  <si>
    <t>Prioritize Demand Queue</t>
  </si>
  <si>
    <t>Product Management</t>
  </si>
  <si>
    <t>Portfolio Management</t>
  </si>
  <si>
    <t>Lifecycle Development</t>
  </si>
  <si>
    <t>Product Manager</t>
  </si>
  <si>
    <t xml:space="preserve">New Product Development </t>
  </si>
  <si>
    <t>Product Extension</t>
  </si>
  <si>
    <t>New Product Platform</t>
  </si>
  <si>
    <t>Product Platform Extension</t>
  </si>
  <si>
    <t>New Service</t>
  </si>
  <si>
    <t>Service Extension</t>
  </si>
  <si>
    <t>Project Manager / Scrum Lead</t>
  </si>
  <si>
    <t>Domains</t>
  </si>
  <si>
    <t>Prioritize Item Backlog</t>
  </si>
  <si>
    <t>Business Analyst</t>
  </si>
  <si>
    <t>Architect (Data)</t>
  </si>
  <si>
    <t>Architect (Technical)</t>
  </si>
  <si>
    <t>Solution Architect</t>
  </si>
  <si>
    <t>Design Options for Solution</t>
  </si>
  <si>
    <t>Recommend Option for Solution</t>
  </si>
  <si>
    <t>Technical Lead</t>
  </si>
  <si>
    <t>Product Owner</t>
  </si>
  <si>
    <t>Revise Data Models</t>
  </si>
  <si>
    <t>Revise Data Integration</t>
  </si>
  <si>
    <t>Revise Data Analytics</t>
  </si>
  <si>
    <t>Revise Storage Management</t>
  </si>
  <si>
    <t>Revise Compute Resources</t>
  </si>
  <si>
    <t>Revise Capacity Plans</t>
  </si>
  <si>
    <t>Security Lead</t>
  </si>
  <si>
    <t>Advise / Review Security Concerns</t>
  </si>
  <si>
    <t>Compliance Lead</t>
  </si>
  <si>
    <t>Advise / Review Policy Concerns</t>
  </si>
  <si>
    <t>Portfolio / Program Manager</t>
  </si>
  <si>
    <t>Document Features (Funct &amp; Non-Funct)</t>
  </si>
  <si>
    <t>Map Customer Needs to Features</t>
  </si>
  <si>
    <t>Map Features to Features</t>
  </si>
  <si>
    <t>Map Features to Sub-Features</t>
  </si>
  <si>
    <t>Business Architect</t>
  </si>
  <si>
    <t>Prioritize Objectives (using Strategy Map)</t>
  </si>
  <si>
    <t>Prioritize Product Roadmap</t>
  </si>
  <si>
    <t>Identify subset of Features per Project</t>
  </si>
  <si>
    <t>Operations Lead</t>
  </si>
  <si>
    <t>Release Management Lead</t>
  </si>
  <si>
    <t xml:space="preserve">Review Translation Plan (Product Design to MFG/Ops) </t>
  </si>
  <si>
    <t>Draft Implementation Plan (Production First Run)</t>
  </si>
  <si>
    <t>Draft Implementation Plan (Production Support)</t>
  </si>
  <si>
    <t>Review / Revise SOPs with Operations</t>
  </si>
  <si>
    <t>Update Staff Training &amp; Certification with Operations</t>
  </si>
  <si>
    <t>Draft Security Guidelines (input to Bus Analyst)</t>
  </si>
  <si>
    <t>Industries</t>
  </si>
  <si>
    <t>Healthcare</t>
  </si>
  <si>
    <t>Medical Device Company</t>
  </si>
  <si>
    <t>Transportation</t>
  </si>
  <si>
    <t>Logistics and Transport of Product</t>
  </si>
  <si>
    <t>Technology</t>
  </si>
  <si>
    <t>Software as a Service</t>
  </si>
  <si>
    <t>Operations Management</t>
  </si>
  <si>
    <t>Compliance Management</t>
  </si>
  <si>
    <t>Draft Release Plan with Quality &amp; Operations</t>
  </si>
  <si>
    <t>Draft Business Continuity Plan (backout, remediation)</t>
  </si>
  <si>
    <t>Prioritize Operational Improvements (using Operations Map)</t>
  </si>
  <si>
    <t>Map Objectives with Operational Improvements, and Ideas</t>
  </si>
  <si>
    <t>Build Prioritization Matrix (input for Business Analyst)</t>
  </si>
  <si>
    <t>Map Consolidated Inputs (above line) with Capability Map</t>
  </si>
  <si>
    <t xml:space="preserve">Revise scope of Requirements Team using Biz Arch Prioritization Matrix </t>
  </si>
  <si>
    <t xml:space="preserve">Rationalize application &amp; tool portfolios </t>
  </si>
  <si>
    <t>Align project team designs with approved assets</t>
  </si>
  <si>
    <t>Ensure solution designs (asset use, integration, resiliency)</t>
  </si>
  <si>
    <t>Scenarios</t>
  </si>
  <si>
    <t>Select Relevant Items Feature List Mapped to Item Backlog</t>
  </si>
  <si>
    <t xml:space="preserve">Prioritize Customer Needs per Product </t>
  </si>
  <si>
    <t>Prioritize Operational Improvements per Product</t>
  </si>
  <si>
    <t>Identify List of Ideas (innovation) to address Customer Needs and/or Operational Improvements</t>
  </si>
  <si>
    <t>Roles within Scrum</t>
  </si>
  <si>
    <t>Roles beyond  Scrum</t>
  </si>
  <si>
    <t>Review Solution Design</t>
  </si>
  <si>
    <t>NEED</t>
  </si>
  <si>
    <t>RESEARCH</t>
  </si>
  <si>
    <t>IMPLEMENT</t>
  </si>
  <si>
    <t>DEVELOP/CONFIRM</t>
  </si>
  <si>
    <t>GAP ASSESSMENT</t>
  </si>
  <si>
    <t>DATA</t>
  </si>
  <si>
    <t>Current State</t>
  </si>
  <si>
    <t>Future State</t>
  </si>
  <si>
    <t>Journey Mapping Template</t>
  </si>
  <si>
    <t>JOURNEY MAP Name</t>
  </si>
  <si>
    <t>1 of 10</t>
  </si>
  <si>
    <t>6 of 10</t>
  </si>
  <si>
    <t>Comments</t>
  </si>
  <si>
    <r>
      <t xml:space="preserve">CX SCORE ⇢            </t>
    </r>
    <r>
      <rPr>
        <sz val="12"/>
        <color theme="1"/>
        <rFont val="Helvetica Neue"/>
        <family val="2"/>
      </rPr>
      <t>(Scale 1-10)</t>
    </r>
  </si>
  <si>
    <t>strategy</t>
  </si>
  <si>
    <t>rationalizing Biz Arch</t>
  </si>
  <si>
    <t>prioritzing initiativess</t>
  </si>
  <si>
    <t>coalescing strategy</t>
  </si>
  <si>
    <t>impact of change to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</si>
</sst>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6"/>
      <color theme="1"/>
      <name val="Calibri"/>
      <family val="2"/>
      <scheme val="minor"/>
    </font>
    <font>
      <b/>
      <sz val="16"/>
      <color theme="1"/>
      <name val="Calibri"/>
      <family val="2"/>
      <scheme val="minor"/>
    </font>
    <font>
      <sz val="14"/>
      <color theme="1"/>
      <name val="Calibri"/>
      <family val="2"/>
      <scheme val="minor"/>
    </font>
    <font>
      <sz val="28"/>
      <color theme="1"/>
      <name val="FontAwesome"/>
    </font>
    <font>
      <sz val="22"/>
      <color theme="1"/>
      <name val="Calibri"/>
      <family val="2"/>
      <scheme val="minor"/>
    </font>
    <font>
      <sz val="12"/>
      <color theme="1"/>
      <name val="Helvetica Neue"/>
      <family val="2"/>
    </font>
    <font>
      <sz val="12"/>
      <color theme="0" tint="-0.34998626667073579"/>
      <name val="Helvetica Neue"/>
      <family val="2"/>
    </font>
    <font>
      <b/>
      <sz val="12"/>
      <color theme="0"/>
      <name val="Helvetica Neue"/>
      <family val="2"/>
    </font>
    <font>
      <b/>
      <sz val="12"/>
      <color theme="1"/>
      <name val="Helvetica Neue"/>
      <family val="2"/>
    </font>
    <font>
      <b/>
      <sz val="20"/>
      <color theme="1"/>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B050"/>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92D050"/>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1" tint="0.499984740745262"/>
        <bgColor indexed="64"/>
      </patternFill>
    </fill>
    <fill>
      <patternFill patternType="solid">
        <fgColor theme="5"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bottom/>
      <diagonal/>
    </border>
    <border>
      <left style="hair">
        <color theme="1" tint="0.34998626667073579"/>
      </left>
      <right style="hair">
        <color theme="1" tint="0.34998626667073579"/>
      </right>
      <top style="hair">
        <color theme="1" tint="0.34998626667073579"/>
      </top>
      <bottom style="hair">
        <color theme="1" tint="0.34998626667073579"/>
      </bottom>
      <diagonal/>
    </border>
    <border>
      <left style="hair">
        <color theme="1" tint="0.34998626667073579"/>
      </left>
      <right style="hair">
        <color theme="1" tint="0.34998626667073579"/>
      </right>
      <top/>
      <bottom style="hair">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auto="1"/>
      </left>
      <right/>
      <top style="hair">
        <color theme="1" tint="0.34998626667073579"/>
      </top>
      <bottom style="hair">
        <color theme="1" tint="0.34998626667073579"/>
      </bottom>
      <diagonal/>
    </border>
    <border>
      <left/>
      <right style="hair">
        <color theme="1" tint="0.34998626667073579"/>
      </right>
      <top style="hair">
        <color theme="1" tint="0.34998626667073579"/>
      </top>
      <bottom style="hair">
        <color theme="1" tint="0.34998626667073579"/>
      </bottom>
      <diagonal/>
    </border>
  </borders>
  <cellStyleXfs count="3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56">
    <xf numFmtId="0" fontId="0" fillId="0" borderId="0" xfId="0"/>
    <xf numFmtId="0" fontId="4" fillId="0" borderId="0" xfId="0" applyFont="1" applyAlignment="1">
      <alignment horizontal="left"/>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right"/>
    </xf>
    <xf numFmtId="1" fontId="3" fillId="0" borderId="0" xfId="0" applyNumberFormat="1" applyFont="1" applyAlignment="1">
      <alignment horizontal="center"/>
    </xf>
    <xf numFmtId="0" fontId="5" fillId="0" borderId="0" xfId="0" applyFont="1" applyAlignment="1">
      <alignment horizontal="center"/>
    </xf>
    <xf numFmtId="1" fontId="5" fillId="0" borderId="0" xfId="0" applyNumberFormat="1" applyFont="1" applyAlignment="1">
      <alignment horizontal="center"/>
    </xf>
    <xf numFmtId="0" fontId="4" fillId="6" borderId="0" xfId="0" applyFont="1" applyFill="1" applyAlignment="1">
      <alignment horizontal="left"/>
    </xf>
    <xf numFmtId="0" fontId="5" fillId="0" borderId="0" xfId="0" applyFont="1" applyAlignment="1">
      <alignment horizontal="left"/>
    </xf>
    <xf numFmtId="0" fontId="6" fillId="0" borderId="0" xfId="0" applyFont="1" applyAlignment="1">
      <alignment horizontal="center"/>
    </xf>
    <xf numFmtId="0" fontId="7" fillId="0" borderId="0" xfId="0" applyFont="1"/>
    <xf numFmtId="0" fontId="8" fillId="0" borderId="0" xfId="0" applyFont="1"/>
    <xf numFmtId="0" fontId="3" fillId="0" borderId="0" xfId="0" quotePrefix="1" applyFont="1" applyAlignment="1">
      <alignment horizontal="center"/>
    </xf>
    <xf numFmtId="0" fontId="0" fillId="0" borderId="0" xfId="0" applyAlignment="1">
      <alignment horizontal="center" wrapText="1"/>
    </xf>
    <xf numFmtId="0" fontId="0" fillId="0" borderId="0" xfId="0" applyAlignment="1">
      <alignment wrapText="1"/>
    </xf>
    <xf numFmtId="0" fontId="9" fillId="0" borderId="0" xfId="0" applyFont="1"/>
    <xf numFmtId="0" fontId="9" fillId="0" borderId="0" xfId="0" applyFont="1" applyAlignment="1">
      <alignment horizontal="center"/>
    </xf>
    <xf numFmtId="0" fontId="4" fillId="0" borderId="0" xfId="0" applyFont="1"/>
    <xf numFmtId="0" fontId="4" fillId="5" borderId="0" xfId="0" applyFont="1" applyFill="1" applyAlignment="1">
      <alignment horizontal="center"/>
    </xf>
    <xf numFmtId="0" fontId="4" fillId="0" borderId="0" xfId="0" applyFont="1" applyAlignment="1">
      <alignment wrapText="1"/>
    </xf>
    <xf numFmtId="0" fontId="4" fillId="5" borderId="0" xfId="0" applyFont="1" applyFill="1" applyAlignment="1">
      <alignment horizontal="center" wrapText="1"/>
    </xf>
    <xf numFmtId="0" fontId="4" fillId="6" borderId="0" xfId="0" applyFont="1" applyFill="1" applyAlignment="1">
      <alignment wrapText="1"/>
    </xf>
    <xf numFmtId="0" fontId="4" fillId="10" borderId="0" xfId="0" applyFont="1" applyFill="1" applyAlignment="1">
      <alignment horizontal="center"/>
    </xf>
    <xf numFmtId="0" fontId="4" fillId="0" borderId="0" xfId="0" applyFont="1" applyFill="1"/>
    <xf numFmtId="0" fontId="0" fillId="0" borderId="0" xfId="0" applyFont="1"/>
    <xf numFmtId="0" fontId="11" fillId="7" borderId="2" xfId="0" applyFont="1" applyFill="1" applyBorder="1" applyAlignment="1">
      <alignment horizontal="center" vertical="center"/>
    </xf>
    <xf numFmtId="0" fontId="11" fillId="7" borderId="2"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11" fillId="12" borderId="2" xfId="0" applyFont="1" applyFill="1" applyBorder="1" applyAlignment="1">
      <alignment horizontal="center" vertical="center"/>
    </xf>
    <xf numFmtId="0" fontId="11" fillId="12" borderId="2" xfId="0" applyFont="1" applyFill="1" applyBorder="1" applyAlignment="1">
      <alignment horizontal="center" vertical="center" wrapText="1"/>
    </xf>
    <xf numFmtId="0" fontId="10" fillId="13" borderId="5" xfId="0" applyFont="1" applyFill="1" applyBorder="1" applyAlignment="1">
      <alignment vertical="center" textRotation="90" wrapText="1"/>
    </xf>
    <xf numFmtId="0" fontId="12" fillId="8" borderId="1" xfId="0" applyFont="1" applyFill="1" applyBorder="1" applyAlignment="1">
      <alignment horizontal="center" vertical="center"/>
    </xf>
    <xf numFmtId="0" fontId="11" fillId="14" borderId="2" xfId="0" applyFont="1" applyFill="1" applyBorder="1" applyAlignment="1">
      <alignment horizontal="center" vertical="center"/>
    </xf>
    <xf numFmtId="0" fontId="11" fillId="14" borderId="2"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0" fillId="0" borderId="0" xfId="0" applyFont="1" applyAlignment="1">
      <alignment vertical="center"/>
    </xf>
    <xf numFmtId="0" fontId="4" fillId="9" borderId="0" xfId="0" applyFont="1" applyFill="1" applyAlignment="1">
      <alignment horizontal="center"/>
    </xf>
    <xf numFmtId="0" fontId="9" fillId="11" borderId="15" xfId="0" applyFont="1" applyFill="1" applyBorder="1" applyAlignment="1">
      <alignment horizontal="center" vertical="top" wrapText="1"/>
    </xf>
    <xf numFmtId="0" fontId="9" fillId="11" borderId="16" xfId="0" applyFont="1" applyFill="1" applyBorder="1" applyAlignment="1">
      <alignment horizontal="center" vertical="top" wrapText="1"/>
    </xf>
    <xf numFmtId="0" fontId="9" fillId="4" borderId="15" xfId="0" applyFont="1" applyFill="1" applyBorder="1" applyAlignment="1">
      <alignment horizontal="left" vertical="top" wrapText="1"/>
    </xf>
    <xf numFmtId="0" fontId="9" fillId="4" borderId="16" xfId="0" applyFont="1" applyFill="1" applyBorder="1" applyAlignment="1">
      <alignment horizontal="left" vertical="top" wrapText="1"/>
    </xf>
    <xf numFmtId="0" fontId="13" fillId="9" borderId="0" xfId="0" applyFont="1" applyFill="1" applyAlignment="1">
      <alignment horizontal="center" vertical="center"/>
    </xf>
    <xf numFmtId="0" fontId="9" fillId="2" borderId="11" xfId="0" applyFont="1" applyFill="1" applyBorder="1" applyAlignment="1">
      <alignment horizontal="left" vertical="center" wrapText="1" indent="1"/>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9" fillId="2" borderId="9"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9" fillId="2" borderId="12" xfId="0" applyFont="1" applyFill="1" applyBorder="1" applyAlignment="1">
      <alignment horizontal="left" vertical="center" wrapText="1" indent="1"/>
    </xf>
    <xf numFmtId="0" fontId="12" fillId="12" borderId="7" xfId="0" applyFont="1" applyFill="1" applyBorder="1" applyAlignment="1">
      <alignment horizontal="center" vertical="center" wrapText="1"/>
    </xf>
    <xf numFmtId="0" fontId="9" fillId="12" borderId="8"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4" xfId="0" applyFont="1" applyFill="1" applyBorder="1" applyAlignment="1">
      <alignment horizontal="center" vertical="center" wrapText="1"/>
    </xf>
  </cellXfs>
  <cellStyles count="33">
    <cellStyle name="Followed Hyperlink" xfId="24" builtinId="9" hidden="1"/>
    <cellStyle name="Followed Hyperlink" xfId="26" builtinId="9" hidden="1"/>
    <cellStyle name="Followed Hyperlink" xfId="28" builtinId="9" hidden="1"/>
    <cellStyle name="Followed Hyperlink" xfId="32" builtinId="9" hidden="1"/>
    <cellStyle name="Followed Hyperlink" xfId="30" builtinId="9" hidden="1"/>
    <cellStyle name="Followed Hyperlink" xfId="22" builtinId="9" hidden="1"/>
    <cellStyle name="Followed Hyperlink" xfId="10" builtinId="9" hidden="1"/>
    <cellStyle name="Followed Hyperlink" xfId="12" builtinId="9" hidden="1"/>
    <cellStyle name="Followed Hyperlink" xfId="16" builtinId="9" hidden="1"/>
    <cellStyle name="Followed Hyperlink" xfId="18" builtinId="9" hidden="1"/>
    <cellStyle name="Followed Hyperlink" xfId="20" builtinId="9" hidden="1"/>
    <cellStyle name="Followed Hyperlink" xfId="14" builtinId="9" hidden="1"/>
    <cellStyle name="Followed Hyperlink" xfId="6" builtinId="9" hidden="1"/>
    <cellStyle name="Followed Hyperlink" xfId="8" builtinId="9" hidden="1"/>
    <cellStyle name="Followed Hyperlink" xfId="4" builtinId="9" hidden="1"/>
    <cellStyle name="Followed Hyperlink" xfId="2" builtinId="9" hidden="1"/>
    <cellStyle name="Hyperlink" xfId="15"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17" builtinId="8" hidden="1"/>
    <cellStyle name="Hyperlink" xfId="7" builtinId="8" hidden="1"/>
    <cellStyle name="Hyperlink" xfId="9" builtinId="8" hidden="1"/>
    <cellStyle name="Hyperlink" xfId="11" builtinId="8" hidden="1"/>
    <cellStyle name="Hyperlink" xfId="13" builtinId="8" hidden="1"/>
    <cellStyle name="Hyperlink" xfId="3" builtinId="8" hidden="1"/>
    <cellStyle name="Hyperlink" xfId="5" builtinId="8" hidden="1"/>
    <cellStyle name="Hyperlink" xfId="1" builtinId="8" hidden="1"/>
    <cellStyle name="Normal" xfId="0" builtinId="0"/>
  </cellStyles>
  <dxfs count="0"/>
  <tableStyles count="0" defaultTableStyle="TableStyleMedium9" defaultPivotStyle="PivotStyleMedium4"/>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304800</xdr:colOff>
      <xdr:row>0</xdr:row>
      <xdr:rowOff>152400</xdr:rowOff>
    </xdr:from>
    <xdr:to>
      <xdr:col>5</xdr:col>
      <xdr:colOff>787400</xdr:colOff>
      <xdr:row>5</xdr:row>
      <xdr:rowOff>12700</xdr:rowOff>
    </xdr:to>
    <xdr:sp macro="" textlink="">
      <xdr:nvSpPr>
        <xdr:cNvPr id="2" name="TextBox 1">
          <a:extLst>
            <a:ext uri="{FF2B5EF4-FFF2-40B4-BE49-F238E27FC236}">
              <a16:creationId xmlns:a16="http://schemas.microsoft.com/office/drawing/2014/main" id="{CCE3D5D7-9167-4E4E-B0FB-F46B61FD9706}"/>
            </a:ext>
          </a:extLst>
        </xdr:cNvPr>
        <xdr:cNvSpPr txBox="1"/>
      </xdr:nvSpPr>
      <xdr:spPr>
        <a:xfrm>
          <a:off x="8191500" y="152400"/>
          <a:ext cx="2959100" cy="11938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a:t>List of industries is intended to stretch</a:t>
          </a:r>
          <a:r>
            <a:rPr lang="en-US" sz="1400" baseline="0"/>
            <a:t> our thinking around what Business Architects need to consider in bringing guidance to Agile teams. </a:t>
          </a:r>
        </a:p>
      </xdr:txBody>
    </xdr:sp>
    <xdr:clientData/>
  </xdr:twoCellAnchor>
  <xdr:twoCellAnchor>
    <xdr:from>
      <xdr:col>2</xdr:col>
      <xdr:colOff>342900</xdr:colOff>
      <xdr:row>20</xdr:row>
      <xdr:rowOff>0</xdr:rowOff>
    </xdr:from>
    <xdr:to>
      <xdr:col>6</xdr:col>
      <xdr:colOff>0</xdr:colOff>
      <xdr:row>35</xdr:row>
      <xdr:rowOff>127000</xdr:rowOff>
    </xdr:to>
    <xdr:sp macro="" textlink="">
      <xdr:nvSpPr>
        <xdr:cNvPr id="3" name="TextBox 2">
          <a:extLst>
            <a:ext uri="{FF2B5EF4-FFF2-40B4-BE49-F238E27FC236}">
              <a16:creationId xmlns:a16="http://schemas.microsoft.com/office/drawing/2014/main" id="{34C3064F-A2C1-0D4F-8538-43BD590B968F}"/>
            </a:ext>
          </a:extLst>
        </xdr:cNvPr>
        <xdr:cNvSpPr txBox="1"/>
      </xdr:nvSpPr>
      <xdr:spPr>
        <a:xfrm>
          <a:off x="8458200" y="5194300"/>
          <a:ext cx="2959100" cy="45466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baseline="0"/>
            <a:t>We need to walk through relevant scenarios to determine what content, data, measurement, and analytics we need to provide to each persona.</a:t>
          </a:r>
        </a:p>
        <a:p>
          <a:endParaRPr lang="en-US" sz="1400" baseline="0"/>
        </a:p>
        <a:p>
          <a:r>
            <a:rPr lang="en-US" sz="1400" baseline="0"/>
            <a:t>Note: the list of Persona's ranges beyond the scope of Agile roles. This is intended since these other roles exist in many companies and they need to react to projects to ensure the quality and integrity of the data, information, products, services, and systems. </a:t>
          </a:r>
        </a:p>
        <a:p>
          <a:endParaRPr lang="en-US" sz="1400" baseline="0"/>
        </a:p>
        <a:p>
          <a:r>
            <a:rPr lang="en-US" sz="1400" baseline="0"/>
            <a:t>Compliance &amp; Operations are not (typically) part of Agile, but they will have to be consulted before projects begin and be engaged in release management</a:t>
          </a:r>
          <a:endParaRPr lang="en-US" sz="1400"/>
        </a:p>
      </xdr:txBody>
    </xdr:sp>
    <xdr:clientData/>
  </xdr:twoCellAnchor>
  <xdr:twoCellAnchor>
    <xdr:from>
      <xdr:col>2</xdr:col>
      <xdr:colOff>317500</xdr:colOff>
      <xdr:row>6</xdr:row>
      <xdr:rowOff>177800</xdr:rowOff>
    </xdr:from>
    <xdr:to>
      <xdr:col>5</xdr:col>
      <xdr:colOff>800100</xdr:colOff>
      <xdr:row>9</xdr:row>
      <xdr:rowOff>177800</xdr:rowOff>
    </xdr:to>
    <xdr:sp macro="" textlink="">
      <xdr:nvSpPr>
        <xdr:cNvPr id="4" name="TextBox 3">
          <a:extLst>
            <a:ext uri="{FF2B5EF4-FFF2-40B4-BE49-F238E27FC236}">
              <a16:creationId xmlns:a16="http://schemas.microsoft.com/office/drawing/2014/main" id="{3B6E21AC-27BA-B341-A508-E9E4740D2E1A}"/>
            </a:ext>
          </a:extLst>
        </xdr:cNvPr>
        <xdr:cNvSpPr txBox="1"/>
      </xdr:nvSpPr>
      <xdr:spPr>
        <a:xfrm>
          <a:off x="8204200" y="1778000"/>
          <a:ext cx="2959100" cy="8001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baseline="0"/>
            <a:t>Domains are used for scoping the key areas in an organization that "may" need input from Bus Arch.  </a:t>
          </a:r>
        </a:p>
      </xdr:txBody>
    </xdr:sp>
    <xdr:clientData/>
  </xdr:twoCellAnchor>
  <xdr:twoCellAnchor>
    <xdr:from>
      <xdr:col>2</xdr:col>
      <xdr:colOff>330200</xdr:colOff>
      <xdr:row>60</xdr:row>
      <xdr:rowOff>12700</xdr:rowOff>
    </xdr:from>
    <xdr:to>
      <xdr:col>5</xdr:col>
      <xdr:colOff>812800</xdr:colOff>
      <xdr:row>67</xdr:row>
      <xdr:rowOff>0</xdr:rowOff>
    </xdr:to>
    <xdr:sp macro="" textlink="">
      <xdr:nvSpPr>
        <xdr:cNvPr id="5" name="TextBox 4">
          <a:extLst>
            <a:ext uri="{FF2B5EF4-FFF2-40B4-BE49-F238E27FC236}">
              <a16:creationId xmlns:a16="http://schemas.microsoft.com/office/drawing/2014/main" id="{57B18DA7-0A96-224A-B349-FF9CF95DA78F}"/>
            </a:ext>
          </a:extLst>
        </xdr:cNvPr>
        <xdr:cNvSpPr txBox="1"/>
      </xdr:nvSpPr>
      <xdr:spPr>
        <a:xfrm>
          <a:off x="8445500" y="16789400"/>
          <a:ext cx="2959100" cy="22098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baseline="0"/>
            <a:t>The activities in Yellow are a continual flow of activities (agnostic of any one project, Agile or Waterfall). The scope may change as projects are slotted in advance of being initiated by project team. The goal is to always be out in front of the project teams </a:t>
          </a:r>
        </a:p>
        <a:p>
          <a:br>
            <a:rPr lang="en-US" sz="1400" baseline="0"/>
          </a:br>
          <a:r>
            <a:rPr lang="en-US" sz="1400" baseline="0"/>
            <a:t>* keep  supply ahead of demand</a:t>
          </a:r>
        </a:p>
      </xdr:txBody>
    </xdr:sp>
    <xdr:clientData/>
  </xdr:twoCellAnchor>
  <xdr:twoCellAnchor>
    <xdr:from>
      <xdr:col>2</xdr:col>
      <xdr:colOff>368300</xdr:colOff>
      <xdr:row>40</xdr:row>
      <xdr:rowOff>139700</xdr:rowOff>
    </xdr:from>
    <xdr:to>
      <xdr:col>6</xdr:col>
      <xdr:colOff>25400</xdr:colOff>
      <xdr:row>49</xdr:row>
      <xdr:rowOff>76200</xdr:rowOff>
    </xdr:to>
    <xdr:sp macro="" textlink="">
      <xdr:nvSpPr>
        <xdr:cNvPr id="6" name="TextBox 5">
          <a:extLst>
            <a:ext uri="{FF2B5EF4-FFF2-40B4-BE49-F238E27FC236}">
              <a16:creationId xmlns:a16="http://schemas.microsoft.com/office/drawing/2014/main" id="{577A9576-BF0C-3548-A3EE-9E2FBC16319B}"/>
            </a:ext>
          </a:extLst>
        </xdr:cNvPr>
        <xdr:cNvSpPr txBox="1"/>
      </xdr:nvSpPr>
      <xdr:spPr>
        <a:xfrm>
          <a:off x="8483600" y="11391900"/>
          <a:ext cx="2959100" cy="24257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endParaRPr lang="en-US" sz="1400" baseline="0"/>
        </a:p>
        <a:p>
          <a:r>
            <a:rPr lang="en-US" sz="1400" baseline="0"/>
            <a:t>Compliance &amp; Operations are not (typically) part of Agile, but they will have to be consulted before projects begin and be engaged in release management.</a:t>
          </a:r>
        </a:p>
        <a:p>
          <a:endParaRPr lang="en-US" sz="1400" baseline="0"/>
        </a:p>
        <a:p>
          <a:r>
            <a:rPr lang="en-US" sz="1400" baseline="0"/>
            <a:t>Security is also a concern with every project.</a:t>
          </a:r>
          <a:endParaRPr lang="en-US" sz="1400"/>
        </a:p>
      </xdr:txBody>
    </xdr:sp>
    <xdr:clientData/>
  </xdr:twoCellAnchor>
  <xdr:twoCellAnchor>
    <xdr:from>
      <xdr:col>2</xdr:col>
      <xdr:colOff>368300</xdr:colOff>
      <xdr:row>54</xdr:row>
      <xdr:rowOff>0</xdr:rowOff>
    </xdr:from>
    <xdr:to>
      <xdr:col>6</xdr:col>
      <xdr:colOff>25400</xdr:colOff>
      <xdr:row>58</xdr:row>
      <xdr:rowOff>101600</xdr:rowOff>
    </xdr:to>
    <xdr:sp macro="" textlink="">
      <xdr:nvSpPr>
        <xdr:cNvPr id="7" name="TextBox 6">
          <a:extLst>
            <a:ext uri="{FF2B5EF4-FFF2-40B4-BE49-F238E27FC236}">
              <a16:creationId xmlns:a16="http://schemas.microsoft.com/office/drawing/2014/main" id="{AD45DE25-A3DF-ED4D-9BD4-145AF5ADDEF9}"/>
            </a:ext>
          </a:extLst>
        </xdr:cNvPr>
        <xdr:cNvSpPr txBox="1"/>
      </xdr:nvSpPr>
      <xdr:spPr>
        <a:xfrm>
          <a:off x="8483600" y="15113000"/>
          <a:ext cx="2959100" cy="12192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baseline="0"/>
            <a:t>Let's discuss these activities and figure out how they impact scenarios across Scrum (and non-Scrum) roles.</a:t>
          </a:r>
        </a:p>
        <a:p>
          <a:r>
            <a:rPr lang="en-US" sz="1400" baseline="0"/>
            <a:t>I suspect Bus Arch could play a larger role than just prioritization...</a:t>
          </a:r>
        </a:p>
      </xdr:txBody>
    </xdr:sp>
    <xdr:clientData/>
  </xdr:twoCellAnchor>
  <xdr:twoCellAnchor>
    <xdr:from>
      <xdr:col>2</xdr:col>
      <xdr:colOff>304800</xdr:colOff>
      <xdr:row>14</xdr:row>
      <xdr:rowOff>139700</xdr:rowOff>
    </xdr:from>
    <xdr:to>
      <xdr:col>5</xdr:col>
      <xdr:colOff>787400</xdr:colOff>
      <xdr:row>17</xdr:row>
      <xdr:rowOff>101600</xdr:rowOff>
    </xdr:to>
    <xdr:sp macro="" textlink="">
      <xdr:nvSpPr>
        <xdr:cNvPr id="8" name="TextBox 7">
          <a:extLst>
            <a:ext uri="{FF2B5EF4-FFF2-40B4-BE49-F238E27FC236}">
              <a16:creationId xmlns:a16="http://schemas.microsoft.com/office/drawing/2014/main" id="{13D96F5F-01B6-474A-AF1A-DEAE975500BA}"/>
            </a:ext>
          </a:extLst>
        </xdr:cNvPr>
        <xdr:cNvSpPr txBox="1"/>
      </xdr:nvSpPr>
      <xdr:spPr>
        <a:xfrm>
          <a:off x="8420100" y="3924300"/>
          <a:ext cx="2959100" cy="8001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baseline="0"/>
            <a:t>These are very high level scenarios, which impact the direction for product owners, project teams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138-EB32-3248-B219-2719B2CFE50F}">
  <dimension ref="A1:B78"/>
  <sheetViews>
    <sheetView topLeftCell="A3" workbookViewId="0">
      <selection activeCell="D19" sqref="D19"/>
    </sheetView>
  </sheetViews>
  <sheetFormatPr baseColWidth="10" defaultRowHeight="21"/>
  <cols>
    <col min="1" max="1" width="37.1640625" style="18" customWidth="1"/>
    <col min="2" max="2" width="69.33203125" style="20" customWidth="1"/>
    <col min="3" max="16384" width="10.83203125" style="18"/>
  </cols>
  <sheetData>
    <row r="1" spans="1:2">
      <c r="A1" s="37" t="s">
        <v>84</v>
      </c>
      <c r="B1" s="37"/>
    </row>
    <row r="2" spans="1:2" ht="22">
      <c r="A2" s="18" t="s">
        <v>85</v>
      </c>
      <c r="B2" s="20" t="s">
        <v>86</v>
      </c>
    </row>
    <row r="3" spans="1:2" ht="22">
      <c r="A3" s="18" t="s">
        <v>87</v>
      </c>
      <c r="B3" s="20" t="s">
        <v>88</v>
      </c>
    </row>
    <row r="4" spans="1:2" ht="22">
      <c r="A4" s="18" t="s">
        <v>89</v>
      </c>
      <c r="B4" s="20" t="s">
        <v>90</v>
      </c>
    </row>
    <row r="6" spans="1:2">
      <c r="A6" s="37" t="s">
        <v>47</v>
      </c>
      <c r="B6" s="37"/>
    </row>
    <row r="7" spans="1:2">
      <c r="A7" s="18" t="s">
        <v>36</v>
      </c>
    </row>
    <row r="8" spans="1:2">
      <c r="A8" s="18" t="s">
        <v>37</v>
      </c>
    </row>
    <row r="9" spans="1:2">
      <c r="A9" s="18" t="s">
        <v>38</v>
      </c>
    </row>
    <row r="10" spans="1:2">
      <c r="A10" s="18" t="s">
        <v>91</v>
      </c>
    </row>
    <row r="11" spans="1:2">
      <c r="A11" s="18" t="s">
        <v>92</v>
      </c>
    </row>
    <row r="12" spans="1:2">
      <c r="A12" s="37" t="s">
        <v>31</v>
      </c>
      <c r="B12" s="37"/>
    </row>
    <row r="13" spans="1:2" ht="22">
      <c r="A13" s="19" t="s">
        <v>32</v>
      </c>
      <c r="B13" s="21" t="s">
        <v>103</v>
      </c>
    </row>
    <row r="14" spans="1:2">
      <c r="A14" s="23" t="s">
        <v>108</v>
      </c>
      <c r="B14" s="23"/>
    </row>
    <row r="15" spans="1:2" ht="22">
      <c r="A15" s="24" t="s">
        <v>39</v>
      </c>
      <c r="B15" s="20" t="s">
        <v>40</v>
      </c>
    </row>
    <row r="16" spans="1:2" ht="22">
      <c r="A16" s="24"/>
      <c r="B16" s="20" t="s">
        <v>41</v>
      </c>
    </row>
    <row r="17" spans="1:2" ht="22">
      <c r="A17" s="24"/>
      <c r="B17" s="20" t="s">
        <v>42</v>
      </c>
    </row>
    <row r="18" spans="1:2" ht="22">
      <c r="A18" s="24"/>
      <c r="B18" s="20" t="s">
        <v>43</v>
      </c>
    </row>
    <row r="19" spans="1:2" ht="22">
      <c r="A19" s="24"/>
      <c r="B19" s="20" t="s">
        <v>44</v>
      </c>
    </row>
    <row r="20" spans="1:2" ht="22">
      <c r="A20" s="24"/>
      <c r="B20" s="20" t="s">
        <v>45</v>
      </c>
    </row>
    <row r="21" spans="1:2">
      <c r="A21" s="24"/>
    </row>
    <row r="22" spans="1:2" ht="22">
      <c r="A22" s="24" t="s">
        <v>67</v>
      </c>
      <c r="B22" s="20" t="s">
        <v>33</v>
      </c>
    </row>
    <row r="23" spans="1:2" ht="22">
      <c r="A23" s="24"/>
      <c r="B23" s="20" t="s">
        <v>34</v>
      </c>
    </row>
    <row r="24" spans="1:2" ht="22">
      <c r="A24" s="24"/>
      <c r="B24" s="20" t="s">
        <v>35</v>
      </c>
    </row>
    <row r="25" spans="1:2">
      <c r="A25" s="24"/>
    </row>
    <row r="26" spans="1:2" ht="22">
      <c r="A26" s="24" t="s">
        <v>56</v>
      </c>
      <c r="B26" s="20" t="s">
        <v>74</v>
      </c>
    </row>
    <row r="27" spans="1:2" ht="22">
      <c r="A27" s="24"/>
      <c r="B27" s="20" t="s">
        <v>105</v>
      </c>
    </row>
    <row r="28" spans="1:2" ht="22">
      <c r="A28" s="24"/>
      <c r="B28" s="20" t="s">
        <v>106</v>
      </c>
    </row>
    <row r="29" spans="1:2" ht="44">
      <c r="A29" s="24"/>
      <c r="B29" s="20" t="s">
        <v>107</v>
      </c>
    </row>
    <row r="30" spans="1:2" ht="22">
      <c r="A30" s="24"/>
      <c r="B30" s="20" t="s">
        <v>75</v>
      </c>
    </row>
    <row r="31" spans="1:2">
      <c r="A31" s="24"/>
    </row>
    <row r="32" spans="1:2" ht="22">
      <c r="A32" s="24" t="s">
        <v>46</v>
      </c>
      <c r="B32" s="20" t="s">
        <v>48</v>
      </c>
    </row>
    <row r="33" spans="1:2" ht="22">
      <c r="A33" s="24"/>
      <c r="B33" s="20" t="s">
        <v>104</v>
      </c>
    </row>
    <row r="34" spans="1:2" ht="22">
      <c r="A34" s="24"/>
      <c r="B34" s="20" t="s">
        <v>75</v>
      </c>
    </row>
    <row r="35" spans="1:2">
      <c r="A35" s="24"/>
    </row>
    <row r="36" spans="1:2" ht="22">
      <c r="A36" s="24" t="s">
        <v>55</v>
      </c>
      <c r="B36" s="20" t="s">
        <v>100</v>
      </c>
    </row>
    <row r="37" spans="1:2" ht="22">
      <c r="A37" s="24"/>
      <c r="B37" s="20" t="s">
        <v>101</v>
      </c>
    </row>
    <row r="38" spans="1:2" ht="22">
      <c r="A38" s="24"/>
      <c r="B38" s="20" t="s">
        <v>102</v>
      </c>
    </row>
    <row r="40" spans="1:2">
      <c r="A40" s="23" t="s">
        <v>109</v>
      </c>
      <c r="B40" s="23"/>
    </row>
    <row r="41" spans="1:2" ht="22">
      <c r="A41" s="18" t="s">
        <v>76</v>
      </c>
      <c r="B41" s="20" t="s">
        <v>78</v>
      </c>
    </row>
    <row r="42" spans="1:2" ht="22">
      <c r="B42" s="20" t="s">
        <v>79</v>
      </c>
    </row>
    <row r="43" spans="1:2" ht="22">
      <c r="B43" s="20" t="s">
        <v>80</v>
      </c>
    </row>
    <row r="45" spans="1:2" ht="22">
      <c r="A45" s="18" t="s">
        <v>65</v>
      </c>
      <c r="B45" s="20" t="s">
        <v>66</v>
      </c>
    </row>
    <row r="46" spans="1:2" ht="22">
      <c r="B46" s="20" t="s">
        <v>81</v>
      </c>
    </row>
    <row r="47" spans="1:2" ht="22">
      <c r="B47" s="20" t="s">
        <v>82</v>
      </c>
    </row>
    <row r="49" spans="1:2" ht="22">
      <c r="A49" s="18" t="s">
        <v>63</v>
      </c>
      <c r="B49" s="20" t="s">
        <v>64</v>
      </c>
    </row>
    <row r="50" spans="1:2" ht="22">
      <c r="B50" s="20" t="s">
        <v>83</v>
      </c>
    </row>
    <row r="52" spans="1:2" ht="22">
      <c r="A52" s="18" t="s">
        <v>77</v>
      </c>
      <c r="B52" s="20" t="s">
        <v>93</v>
      </c>
    </row>
    <row r="53" spans="1:2" ht="22">
      <c r="B53" s="20" t="s">
        <v>94</v>
      </c>
    </row>
    <row r="55" spans="1:2" ht="22">
      <c r="A55" s="18" t="s">
        <v>72</v>
      </c>
      <c r="B55" s="20" t="s">
        <v>73</v>
      </c>
    </row>
    <row r="56" spans="1:2" ht="22">
      <c r="B56" s="20" t="s">
        <v>95</v>
      </c>
    </row>
    <row r="57" spans="1:2" ht="22">
      <c r="B57" s="20" t="s">
        <v>96</v>
      </c>
    </row>
    <row r="58" spans="1:2" ht="22">
      <c r="B58" s="20" t="s">
        <v>98</v>
      </c>
    </row>
    <row r="59" spans="1:2" ht="22">
      <c r="B59" s="20" t="s">
        <v>97</v>
      </c>
    </row>
    <row r="61" spans="1:2" ht="44">
      <c r="A61" s="18" t="s">
        <v>49</v>
      </c>
      <c r="B61" s="20" t="s">
        <v>99</v>
      </c>
    </row>
    <row r="62" spans="1:2" ht="22">
      <c r="B62" s="22" t="s">
        <v>68</v>
      </c>
    </row>
    <row r="63" spans="1:2" ht="22">
      <c r="B63" s="22" t="s">
        <v>69</v>
      </c>
    </row>
    <row r="64" spans="1:2" ht="22">
      <c r="B64" s="22" t="s">
        <v>70</v>
      </c>
    </row>
    <row r="65" spans="1:2" ht="22">
      <c r="B65" s="22" t="s">
        <v>71</v>
      </c>
    </row>
    <row r="66" spans="1:2" ht="22">
      <c r="A66" s="24"/>
      <c r="B66" s="20" t="s">
        <v>75</v>
      </c>
    </row>
    <row r="67" spans="1:2">
      <c r="A67" s="24"/>
    </row>
    <row r="68" spans="1:2" ht="22">
      <c r="A68" s="18" t="s">
        <v>52</v>
      </c>
      <c r="B68" s="20" t="s">
        <v>53</v>
      </c>
    </row>
    <row r="69" spans="1:2" ht="22">
      <c r="B69" s="20" t="s">
        <v>54</v>
      </c>
    </row>
    <row r="70" spans="1:2" ht="22">
      <c r="B70" s="20" t="s">
        <v>110</v>
      </c>
    </row>
    <row r="72" spans="1:2" ht="22">
      <c r="A72" s="18" t="s">
        <v>50</v>
      </c>
      <c r="B72" s="20" t="s">
        <v>57</v>
      </c>
    </row>
    <row r="73" spans="1:2" ht="22">
      <c r="B73" s="20" t="s">
        <v>58</v>
      </c>
    </row>
    <row r="74" spans="1:2" ht="22">
      <c r="B74" s="20" t="s">
        <v>59</v>
      </c>
    </row>
    <row r="76" spans="1:2" ht="22">
      <c r="A76" s="18" t="s">
        <v>51</v>
      </c>
      <c r="B76" s="20" t="s">
        <v>60</v>
      </c>
    </row>
    <row r="77" spans="1:2" ht="22">
      <c r="B77" s="20" t="s">
        <v>61</v>
      </c>
    </row>
    <row r="78" spans="1:2" ht="22">
      <c r="B78" s="20" t="s">
        <v>62</v>
      </c>
    </row>
  </sheetData>
  <mergeCells count="3">
    <mergeCell ref="A12:B12"/>
    <mergeCell ref="A1:B1"/>
    <mergeCell ref="A6:B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493B-4BF0-F641-A0E4-A2366359F1F9}">
  <dimension ref="A1:I33"/>
  <sheetViews>
    <sheetView tabSelected="1" topLeftCell="A2" workbookViewId="0">
      <selection activeCell="A35" sqref="A35"/>
    </sheetView>
  </sheetViews>
  <sheetFormatPr baseColWidth="10" defaultRowHeight="16"/>
  <cols>
    <col min="1" max="1" width="35" style="25" customWidth="1"/>
    <col min="2" max="2" width="19.6640625" style="25" customWidth="1"/>
    <col min="3" max="3" width="21.1640625" style="25" customWidth="1"/>
    <col min="4" max="4" width="14.6640625" style="25" customWidth="1"/>
    <col min="5" max="5" width="21.1640625" style="25" customWidth="1"/>
    <col min="6" max="6" width="17.83203125" style="25" customWidth="1"/>
    <col min="7" max="7" width="21.1640625" style="25" customWidth="1"/>
    <col min="8" max="8" width="16.83203125" style="25" customWidth="1"/>
    <col min="9" max="9" width="21.1640625" style="25" customWidth="1"/>
    <col min="10" max="16384" width="10.83203125" style="25"/>
  </cols>
  <sheetData>
    <row r="1" spans="1:9" ht="50" customHeight="1">
      <c r="A1" s="42" t="s">
        <v>119</v>
      </c>
      <c r="B1" s="42"/>
      <c r="C1" s="42"/>
      <c r="D1" s="42"/>
      <c r="E1" s="42"/>
      <c r="F1" s="42"/>
      <c r="G1" s="42"/>
      <c r="H1" s="42"/>
      <c r="I1" s="42"/>
    </row>
    <row r="2" spans="1:9" s="36" customFormat="1" ht="17">
      <c r="A2" s="35" t="s">
        <v>120</v>
      </c>
      <c r="B2" s="48" t="s">
        <v>111</v>
      </c>
      <c r="C2" s="49"/>
      <c r="D2" s="48" t="s">
        <v>112</v>
      </c>
      <c r="E2" s="49"/>
      <c r="F2" s="48" t="s">
        <v>114</v>
      </c>
      <c r="G2" s="49"/>
      <c r="H2" s="48" t="s">
        <v>113</v>
      </c>
      <c r="I2" s="49"/>
    </row>
    <row r="3" spans="1:9">
      <c r="A3" s="33" t="s">
        <v>0</v>
      </c>
      <c r="B3" s="50"/>
      <c r="C3" s="50"/>
      <c r="D3" s="50"/>
      <c r="E3" s="50"/>
      <c r="F3" s="50"/>
      <c r="G3" s="50"/>
      <c r="H3" s="50"/>
      <c r="I3" s="50"/>
    </row>
    <row r="4" spans="1:9" ht="17">
      <c r="A4" s="34" t="s">
        <v>1</v>
      </c>
      <c r="B4" s="43"/>
      <c r="C4" s="43"/>
      <c r="D4" s="43"/>
      <c r="E4" s="43"/>
      <c r="F4" s="43"/>
      <c r="G4" s="43"/>
      <c r="H4" s="43"/>
      <c r="I4" s="43"/>
    </row>
    <row r="5" spans="1:9">
      <c r="A5" s="33" t="s">
        <v>2</v>
      </c>
      <c r="B5" s="43"/>
      <c r="C5" s="43"/>
      <c r="D5" s="43"/>
      <c r="E5" s="43"/>
      <c r="F5" s="43"/>
      <c r="G5" s="43"/>
      <c r="H5" s="43"/>
      <c r="I5" s="43"/>
    </row>
    <row r="6" spans="1:9">
      <c r="A6" s="33" t="s">
        <v>3</v>
      </c>
      <c r="B6" s="43"/>
      <c r="C6" s="43"/>
      <c r="D6" s="43"/>
      <c r="E6" s="43"/>
      <c r="F6" s="43"/>
      <c r="G6" s="43"/>
      <c r="H6" s="43"/>
      <c r="I6" s="43"/>
    </row>
    <row r="7" spans="1:9">
      <c r="A7" s="33" t="s">
        <v>4</v>
      </c>
      <c r="B7" s="43"/>
      <c r="C7" s="43"/>
      <c r="D7" s="43"/>
      <c r="E7" s="43"/>
      <c r="F7" s="43"/>
      <c r="G7" s="43"/>
      <c r="H7" s="43"/>
      <c r="I7" s="43"/>
    </row>
    <row r="8" spans="1:9">
      <c r="A8" s="33" t="s">
        <v>5</v>
      </c>
      <c r="B8" s="43"/>
      <c r="C8" s="43"/>
      <c r="D8" s="43"/>
      <c r="E8" s="43"/>
      <c r="F8" s="43"/>
      <c r="G8" s="43"/>
      <c r="H8" s="43"/>
      <c r="I8" s="43"/>
    </row>
    <row r="9" spans="1:9">
      <c r="A9" s="16"/>
      <c r="B9" s="16"/>
      <c r="C9" s="16"/>
      <c r="D9" s="16"/>
      <c r="E9" s="16"/>
      <c r="F9" s="16"/>
      <c r="G9" s="16"/>
      <c r="H9" s="16"/>
      <c r="I9" s="16"/>
    </row>
    <row r="10" spans="1:9" ht="17">
      <c r="A10" s="53" t="s">
        <v>115</v>
      </c>
      <c r="B10" s="28" t="s">
        <v>117</v>
      </c>
      <c r="C10" s="28" t="s">
        <v>118</v>
      </c>
      <c r="D10" s="28" t="s">
        <v>117</v>
      </c>
      <c r="E10" s="28" t="s">
        <v>118</v>
      </c>
      <c r="F10" s="28" t="s">
        <v>117</v>
      </c>
      <c r="G10" s="28" t="s">
        <v>118</v>
      </c>
      <c r="H10" s="28" t="s">
        <v>117</v>
      </c>
      <c r="I10" s="28" t="s">
        <v>118</v>
      </c>
    </row>
    <row r="11" spans="1:9">
      <c r="A11" s="54"/>
      <c r="B11" s="17" t="s">
        <v>121</v>
      </c>
      <c r="C11" s="17" t="s">
        <v>122</v>
      </c>
      <c r="D11" s="16"/>
      <c r="E11" s="16"/>
      <c r="F11" s="16"/>
      <c r="G11" s="16"/>
      <c r="H11" s="16"/>
      <c r="I11" s="16"/>
    </row>
    <row r="12" spans="1:9" ht="16" customHeight="1">
      <c r="A12" s="54"/>
      <c r="B12" s="38" t="s">
        <v>123</v>
      </c>
      <c r="C12" s="39"/>
      <c r="D12" s="38" t="s">
        <v>123</v>
      </c>
      <c r="E12" s="39"/>
      <c r="F12" s="38" t="s">
        <v>123</v>
      </c>
      <c r="G12" s="39"/>
      <c r="H12" s="38" t="s">
        <v>123</v>
      </c>
      <c r="I12" s="39"/>
    </row>
    <row r="13" spans="1:9" ht="42" customHeight="1">
      <c r="A13" s="55"/>
      <c r="B13" s="40"/>
      <c r="C13" s="41"/>
      <c r="D13" s="40"/>
      <c r="E13" s="41"/>
      <c r="F13" s="40"/>
      <c r="G13" s="41"/>
      <c r="H13" s="40"/>
      <c r="I13" s="41"/>
    </row>
    <row r="14" spans="1:9">
      <c r="A14" s="26" t="s">
        <v>8</v>
      </c>
      <c r="B14" s="43"/>
      <c r="C14" s="43"/>
      <c r="D14" s="43"/>
      <c r="E14" s="43"/>
      <c r="F14" s="43"/>
      <c r="G14" s="43"/>
      <c r="H14" s="43"/>
      <c r="I14" s="43"/>
    </row>
    <row r="15" spans="1:9" ht="17">
      <c r="A15" s="27" t="s">
        <v>116</v>
      </c>
      <c r="B15" s="43"/>
      <c r="C15" s="43"/>
      <c r="D15" s="43"/>
      <c r="E15" s="43"/>
      <c r="F15" s="43"/>
      <c r="G15" s="43"/>
      <c r="H15" s="43"/>
      <c r="I15" s="43"/>
    </row>
    <row r="16" spans="1:9" ht="17">
      <c r="A16" s="27" t="s">
        <v>9</v>
      </c>
      <c r="B16" s="43"/>
      <c r="C16" s="43"/>
      <c r="D16" s="43"/>
      <c r="E16" s="43"/>
      <c r="F16" s="43"/>
      <c r="G16" s="43"/>
      <c r="H16" s="43"/>
      <c r="I16" s="43"/>
    </row>
    <row r="17" spans="1:9">
      <c r="A17" s="16"/>
      <c r="B17" s="16"/>
      <c r="C17" s="16"/>
      <c r="D17" s="16"/>
      <c r="E17" s="16"/>
      <c r="F17" s="16"/>
      <c r="G17" s="16"/>
      <c r="H17" s="16"/>
      <c r="I17" s="16"/>
    </row>
    <row r="18" spans="1:9">
      <c r="A18" s="29" t="s">
        <v>10</v>
      </c>
      <c r="B18" s="44" t="s">
        <v>11</v>
      </c>
      <c r="C18" s="45"/>
      <c r="D18" s="44" t="s">
        <v>11</v>
      </c>
      <c r="E18" s="45"/>
      <c r="F18" s="44" t="s">
        <v>11</v>
      </c>
      <c r="G18" s="45"/>
      <c r="H18" s="44" t="s">
        <v>11</v>
      </c>
      <c r="I18" s="45"/>
    </row>
    <row r="19" spans="1:9" ht="17">
      <c r="A19" s="30" t="s">
        <v>12</v>
      </c>
      <c r="B19" s="43"/>
      <c r="C19" s="43"/>
      <c r="D19" s="43"/>
      <c r="E19" s="43"/>
      <c r="F19" s="43"/>
      <c r="G19" s="43"/>
      <c r="H19" s="43"/>
      <c r="I19" s="43"/>
    </row>
    <row r="20" spans="1:9">
      <c r="A20" s="16"/>
      <c r="B20" s="16"/>
      <c r="C20" s="16"/>
      <c r="D20" s="16"/>
      <c r="E20" s="16"/>
      <c r="F20" s="16"/>
      <c r="G20" s="16"/>
      <c r="H20" s="16"/>
      <c r="I20" s="16"/>
    </row>
    <row r="21" spans="1:9">
      <c r="A21" s="51" t="s">
        <v>124</v>
      </c>
      <c r="B21" s="32">
        <v>2</v>
      </c>
      <c r="C21" s="31"/>
      <c r="D21" s="32">
        <v>5</v>
      </c>
      <c r="E21" s="31"/>
      <c r="F21" s="32">
        <v>3</v>
      </c>
      <c r="G21" s="31"/>
      <c r="H21" s="32">
        <v>2</v>
      </c>
      <c r="I21" s="31"/>
    </row>
    <row r="22" spans="1:9" ht="49" customHeight="1">
      <c r="A22" s="52"/>
      <c r="B22" s="46"/>
      <c r="C22" s="47"/>
      <c r="D22" s="46"/>
      <c r="E22" s="47"/>
      <c r="F22" s="46"/>
      <c r="G22" s="47"/>
      <c r="H22" s="46"/>
      <c r="I22" s="47"/>
    </row>
    <row r="29" spans="1:9">
      <c r="A29" s="25" t="s">
        <v>125</v>
      </c>
    </row>
    <row r="30" spans="1:9">
      <c r="A30" s="25" t="s">
        <v>126</v>
      </c>
    </row>
    <row r="31" spans="1:9">
      <c r="A31" s="25" t="s">
        <v>127</v>
      </c>
    </row>
    <row r="32" spans="1:9">
      <c r="A32" s="25" t="s">
        <v>128</v>
      </c>
    </row>
    <row r="33" spans="1:1">
      <c r="A33" s="25" t="s">
        <v>129</v>
      </c>
    </row>
  </sheetData>
  <mergeCells count="63">
    <mergeCell ref="A21:A22"/>
    <mergeCell ref="B2:C2"/>
    <mergeCell ref="B3:C3"/>
    <mergeCell ref="B4:C4"/>
    <mergeCell ref="B5:C5"/>
    <mergeCell ref="B6:C6"/>
    <mergeCell ref="B7:C7"/>
    <mergeCell ref="A10:A13"/>
    <mergeCell ref="B19:C19"/>
    <mergeCell ref="B22:C22"/>
    <mergeCell ref="D2:E2"/>
    <mergeCell ref="D3:E3"/>
    <mergeCell ref="D4:E4"/>
    <mergeCell ref="D5:E5"/>
    <mergeCell ref="D6:E6"/>
    <mergeCell ref="D7:E7"/>
    <mergeCell ref="D8:E8"/>
    <mergeCell ref="B8:C8"/>
    <mergeCell ref="B14:C14"/>
    <mergeCell ref="B15:C15"/>
    <mergeCell ref="B16:C16"/>
    <mergeCell ref="B18:C18"/>
    <mergeCell ref="D22:E22"/>
    <mergeCell ref="F2:G2"/>
    <mergeCell ref="F3:G3"/>
    <mergeCell ref="F4:G4"/>
    <mergeCell ref="F5:G5"/>
    <mergeCell ref="F6:G6"/>
    <mergeCell ref="F7:G7"/>
    <mergeCell ref="F8:G8"/>
    <mergeCell ref="D14:E14"/>
    <mergeCell ref="D15:E15"/>
    <mergeCell ref="D16:E16"/>
    <mergeCell ref="D18:E18"/>
    <mergeCell ref="D19:E19"/>
    <mergeCell ref="F22:G22"/>
    <mergeCell ref="H2:I2"/>
    <mergeCell ref="H3:I3"/>
    <mergeCell ref="H4:I4"/>
    <mergeCell ref="H5:I5"/>
    <mergeCell ref="H6:I6"/>
    <mergeCell ref="H7:I7"/>
    <mergeCell ref="H8:I8"/>
    <mergeCell ref="H14:I14"/>
    <mergeCell ref="F14:G14"/>
    <mergeCell ref="F15:G15"/>
    <mergeCell ref="F16:G16"/>
    <mergeCell ref="F18:G18"/>
    <mergeCell ref="F19:G19"/>
    <mergeCell ref="H15:I15"/>
    <mergeCell ref="H16:I16"/>
    <mergeCell ref="H18:I18"/>
    <mergeCell ref="H19:I19"/>
    <mergeCell ref="H22:I22"/>
    <mergeCell ref="H12:I12"/>
    <mergeCell ref="H13:I13"/>
    <mergeCell ref="A1:I1"/>
    <mergeCell ref="B12:C12"/>
    <mergeCell ref="B13:C13"/>
    <mergeCell ref="D12:E12"/>
    <mergeCell ref="D13:E13"/>
    <mergeCell ref="F12:G12"/>
    <mergeCell ref="F13:G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M64"/>
  <sheetViews>
    <sheetView topLeftCell="A16" zoomScale="125" workbookViewId="0">
      <selection activeCell="F34" sqref="F34"/>
    </sheetView>
  </sheetViews>
  <sheetFormatPr baseColWidth="10" defaultColWidth="11" defaultRowHeight="21"/>
  <cols>
    <col min="1" max="1" width="37.83203125" style="1" bestFit="1" customWidth="1"/>
    <col min="2" max="3" width="10" style="2" customWidth="1"/>
    <col min="4" max="6" width="10" customWidth="1"/>
  </cols>
  <sheetData>
    <row r="2" spans="1:13">
      <c r="B2" s="6" t="s">
        <v>17</v>
      </c>
      <c r="C2" s="6"/>
      <c r="M2" t="e">
        <f>#REF!</f>
        <v>#REF!</v>
      </c>
    </row>
    <row r="3" spans="1:13">
      <c r="A3" s="8" t="s">
        <v>18</v>
      </c>
      <c r="B3" s="14"/>
      <c r="C3" s="14"/>
      <c r="D3" s="14"/>
      <c r="E3" s="14"/>
      <c r="F3" s="14"/>
      <c r="G3" s="15"/>
    </row>
    <row r="4" spans="1:13">
      <c r="A4" s="1" t="s">
        <v>19</v>
      </c>
      <c r="B4" s="14" t="e">
        <f>#REF!&amp;" Current"</f>
        <v>#REF!</v>
      </c>
      <c r="C4" s="14" t="e">
        <f>#REF!&amp;" Ideal"</f>
        <v>#REF!</v>
      </c>
      <c r="D4" s="14" t="e">
        <f>#REF!&amp;" Current"</f>
        <v>#REF!</v>
      </c>
      <c r="E4" s="14" t="e">
        <f>#REF!&amp;" Ideal"</f>
        <v>#REF!</v>
      </c>
      <c r="F4" s="14" t="e">
        <f>#REF!&amp;" Current"</f>
        <v>#REF!</v>
      </c>
      <c r="G4" s="14" t="e">
        <f>#REF!&amp;" Ideal"</f>
        <v>#REF!</v>
      </c>
    </row>
    <row r="5" spans="1:13">
      <c r="A5" s="1" t="e">
        <f>#REF!</f>
        <v>#REF!</v>
      </c>
      <c r="B5" s="3" t="e">
        <f>#REF!</f>
        <v>#REF!</v>
      </c>
      <c r="C5" s="3" t="e">
        <f>#REF!</f>
        <v>#REF!</v>
      </c>
      <c r="D5" s="3" t="e">
        <f>#REF!</f>
        <v>#REF!</v>
      </c>
      <c r="E5" s="3" t="e">
        <f>#REF!</f>
        <v>#REF!</v>
      </c>
      <c r="F5" s="3" t="e">
        <f>#REF!</f>
        <v>#REF!</v>
      </c>
      <c r="G5" s="3" t="e">
        <f>#REF!</f>
        <v>#REF!</v>
      </c>
      <c r="H5" s="3"/>
      <c r="I5" s="3"/>
    </row>
    <row r="6" spans="1:13">
      <c r="A6" s="1" t="e">
        <f>#REF!</f>
        <v>#REF!</v>
      </c>
      <c r="B6" s="3" t="e">
        <f>#REF!</f>
        <v>#REF!</v>
      </c>
      <c r="C6" s="3" t="e">
        <f>#REF!</f>
        <v>#REF!</v>
      </c>
      <c r="D6" s="3" t="e">
        <f>#REF!</f>
        <v>#REF!</v>
      </c>
      <c r="E6" s="3" t="e">
        <f>#REF!</f>
        <v>#REF!</v>
      </c>
      <c r="F6" s="3" t="e">
        <f>#REF!</f>
        <v>#REF!</v>
      </c>
      <c r="G6" s="3" t="e">
        <f>#REF!</f>
        <v>#REF!</v>
      </c>
      <c r="H6" s="3"/>
      <c r="I6" s="3"/>
    </row>
    <row r="7" spans="1:13">
      <c r="A7" s="1" t="e">
        <f>#REF!</f>
        <v>#REF!</v>
      </c>
      <c r="B7" s="3" t="e">
        <f>#REF!</f>
        <v>#REF!</v>
      </c>
      <c r="C7" s="3" t="e">
        <f>#REF!</f>
        <v>#REF!</v>
      </c>
      <c r="D7" s="3" t="e">
        <f>#REF!</f>
        <v>#REF!</v>
      </c>
      <c r="E7" s="3" t="e">
        <f>#REF!</f>
        <v>#REF!</v>
      </c>
      <c r="F7" s="3" t="e">
        <f>#REF!</f>
        <v>#REF!</v>
      </c>
      <c r="G7" s="3" t="e">
        <f>#REF!</f>
        <v>#REF!</v>
      </c>
      <c r="H7" s="3"/>
      <c r="I7" s="3"/>
    </row>
    <row r="8" spans="1:13">
      <c r="A8" s="1" t="e">
        <f>#REF!</f>
        <v>#REF!</v>
      </c>
      <c r="B8" s="3" t="e">
        <f>#REF!</f>
        <v>#REF!</v>
      </c>
      <c r="C8" s="3" t="e">
        <f>#REF!</f>
        <v>#REF!</v>
      </c>
      <c r="D8" s="3" t="e">
        <f>#REF!</f>
        <v>#REF!</v>
      </c>
      <c r="E8" s="3" t="e">
        <f>#REF!</f>
        <v>#REF!</v>
      </c>
      <c r="F8" s="3" t="e">
        <f>#REF!</f>
        <v>#REF!</v>
      </c>
      <c r="G8" s="3" t="e">
        <f>#REF!</f>
        <v>#REF!</v>
      </c>
      <c r="H8" s="3"/>
      <c r="I8" s="3"/>
    </row>
    <row r="9" spans="1:13">
      <c r="A9" s="1" t="e">
        <f>#REF!</f>
        <v>#REF!</v>
      </c>
      <c r="B9" s="3" t="e">
        <f>#REF!</f>
        <v>#REF!</v>
      </c>
      <c r="C9" s="3" t="e">
        <f>#REF!</f>
        <v>#REF!</v>
      </c>
      <c r="D9" s="3" t="e">
        <f>#REF!</f>
        <v>#REF!</v>
      </c>
      <c r="E9" s="3" t="e">
        <f>#REF!</f>
        <v>#REF!</v>
      </c>
      <c r="F9" s="3" t="e">
        <f>#REF!</f>
        <v>#REF!</v>
      </c>
      <c r="G9" s="3" t="e">
        <f>#REF!</f>
        <v>#REF!</v>
      </c>
      <c r="H9" s="3"/>
      <c r="I9" s="3"/>
    </row>
    <row r="10" spans="1:13">
      <c r="A10" s="1" t="e">
        <f>#REF!</f>
        <v>#REF!</v>
      </c>
      <c r="B10" s="3" t="e">
        <f>#REF!</f>
        <v>#REF!</v>
      </c>
      <c r="C10" s="3" t="e">
        <f>#REF!</f>
        <v>#REF!</v>
      </c>
      <c r="D10" s="3" t="e">
        <f>#REF!</f>
        <v>#REF!</v>
      </c>
      <c r="E10" s="3" t="e">
        <f>#REF!</f>
        <v>#REF!</v>
      </c>
      <c r="F10" s="3" t="e">
        <f>#REF!</f>
        <v>#REF!</v>
      </c>
      <c r="G10" s="3" t="e">
        <f>#REF!</f>
        <v>#REF!</v>
      </c>
    </row>
    <row r="11" spans="1:13">
      <c r="A11" s="1" t="e">
        <f>#REF!</f>
        <v>#REF!</v>
      </c>
      <c r="B11" s="3" t="e">
        <f>#REF!</f>
        <v>#REF!</v>
      </c>
      <c r="C11" s="3" t="e">
        <f>#REF!</f>
        <v>#REF!</v>
      </c>
      <c r="D11" s="3" t="e">
        <f>#REF!</f>
        <v>#REF!</v>
      </c>
      <c r="E11" s="3" t="e">
        <f>#REF!</f>
        <v>#REF!</v>
      </c>
      <c r="F11" s="2" t="e">
        <f>#REF!</f>
        <v>#REF!</v>
      </c>
      <c r="G11" s="2" t="e">
        <f>#REF!</f>
        <v>#REF!</v>
      </c>
    </row>
    <row r="13" spans="1:13">
      <c r="A13" s="8" t="s">
        <v>20</v>
      </c>
      <c r="B13" s="9" t="s">
        <v>21</v>
      </c>
      <c r="C13" s="6"/>
    </row>
    <row r="14" spans="1:13">
      <c r="A14" s="1" t="str">
        <f t="shared" ref="A14:G14" si="0">A4</f>
        <v>Stage</v>
      </c>
      <c r="B14" s="14" t="e">
        <f t="shared" si="0"/>
        <v>#REF!</v>
      </c>
      <c r="C14" s="14" t="e">
        <f t="shared" si="0"/>
        <v>#REF!</v>
      </c>
      <c r="D14" s="14" t="e">
        <f t="shared" si="0"/>
        <v>#REF!</v>
      </c>
      <c r="E14" s="14" t="e">
        <f t="shared" si="0"/>
        <v>#REF!</v>
      </c>
      <c r="F14" s="14" t="e">
        <f t="shared" si="0"/>
        <v>#REF!</v>
      </c>
      <c r="G14" s="14" t="e">
        <f t="shared" si="0"/>
        <v>#REF!</v>
      </c>
    </row>
    <row r="15" spans="1:13">
      <c r="A15" s="1" t="s">
        <v>22</v>
      </c>
      <c r="B15" s="5" t="e">
        <f t="shared" ref="B15:G15" si="1">AVERAGE(B16:B22)</f>
        <v>#REF!</v>
      </c>
      <c r="C15" s="5" t="e">
        <f t="shared" si="1"/>
        <v>#REF!</v>
      </c>
      <c r="D15" s="5" t="e">
        <f t="shared" si="1"/>
        <v>#REF!</v>
      </c>
      <c r="E15" s="5" t="e">
        <f t="shared" si="1"/>
        <v>#REF!</v>
      </c>
      <c r="F15" s="5" t="e">
        <f t="shared" si="1"/>
        <v>#REF!</v>
      </c>
      <c r="G15" s="5" t="e">
        <f t="shared" si="1"/>
        <v>#REF!</v>
      </c>
    </row>
    <row r="16" spans="1:13">
      <c r="A16" s="1" t="e">
        <f t="shared" ref="A16:A22" si="2">A5</f>
        <v>#REF!</v>
      </c>
      <c r="B16" s="3" t="e">
        <f>VLOOKUP(B5,$A$40:$B$50,2,FALSE)</f>
        <v>#REF!</v>
      </c>
      <c r="C16" s="3" t="e">
        <f>VLOOKUP(C5,$A$40:$B$50,2,FALSE)</f>
        <v>#REF!</v>
      </c>
      <c r="D16" s="3" t="e">
        <f t="shared" ref="B16:G21" si="3">VLOOKUP(D5,$A$40:$B$50,2,FALSE)</f>
        <v>#REF!</v>
      </c>
      <c r="E16" s="3" t="e">
        <f t="shared" si="3"/>
        <v>#REF!</v>
      </c>
      <c r="F16" s="3" t="e">
        <f t="shared" si="3"/>
        <v>#REF!</v>
      </c>
      <c r="G16" s="3" t="e">
        <f t="shared" si="3"/>
        <v>#REF!</v>
      </c>
    </row>
    <row r="17" spans="1:7">
      <c r="A17" s="1" t="e">
        <f t="shared" si="2"/>
        <v>#REF!</v>
      </c>
      <c r="B17" s="3" t="e">
        <f t="shared" si="3"/>
        <v>#REF!</v>
      </c>
      <c r="C17" s="3" t="e">
        <f t="shared" si="3"/>
        <v>#REF!</v>
      </c>
      <c r="D17" s="3" t="e">
        <f t="shared" si="3"/>
        <v>#REF!</v>
      </c>
      <c r="E17" s="3" t="e">
        <f t="shared" si="3"/>
        <v>#REF!</v>
      </c>
      <c r="F17" s="3" t="e">
        <f t="shared" si="3"/>
        <v>#REF!</v>
      </c>
      <c r="G17" s="3" t="e">
        <f t="shared" si="3"/>
        <v>#REF!</v>
      </c>
    </row>
    <row r="18" spans="1:7">
      <c r="A18" s="1" t="e">
        <f t="shared" si="2"/>
        <v>#REF!</v>
      </c>
      <c r="B18" s="3" t="e">
        <f t="shared" si="3"/>
        <v>#REF!</v>
      </c>
      <c r="C18" s="3" t="e">
        <f t="shared" si="3"/>
        <v>#REF!</v>
      </c>
      <c r="D18" s="3" t="e">
        <f t="shared" si="3"/>
        <v>#REF!</v>
      </c>
      <c r="E18" s="3" t="e">
        <f t="shared" si="3"/>
        <v>#REF!</v>
      </c>
      <c r="F18" s="3" t="e">
        <f t="shared" si="3"/>
        <v>#REF!</v>
      </c>
      <c r="G18" s="3" t="e">
        <f t="shared" si="3"/>
        <v>#REF!</v>
      </c>
    </row>
    <row r="19" spans="1:7">
      <c r="A19" s="1" t="e">
        <f t="shared" si="2"/>
        <v>#REF!</v>
      </c>
      <c r="B19" s="3" t="e">
        <f t="shared" si="3"/>
        <v>#REF!</v>
      </c>
      <c r="C19" s="3" t="e">
        <f t="shared" si="3"/>
        <v>#REF!</v>
      </c>
      <c r="D19" s="3" t="e">
        <f t="shared" si="3"/>
        <v>#REF!</v>
      </c>
      <c r="E19" s="3" t="e">
        <f t="shared" si="3"/>
        <v>#REF!</v>
      </c>
      <c r="F19" s="3" t="e">
        <f t="shared" si="3"/>
        <v>#REF!</v>
      </c>
      <c r="G19" s="3" t="e">
        <f t="shared" si="3"/>
        <v>#REF!</v>
      </c>
    </row>
    <row r="20" spans="1:7">
      <c r="A20" s="1" t="e">
        <f t="shared" si="2"/>
        <v>#REF!</v>
      </c>
      <c r="B20" s="3" t="e">
        <f t="shared" si="3"/>
        <v>#REF!</v>
      </c>
      <c r="C20" s="3" t="e">
        <f t="shared" si="3"/>
        <v>#REF!</v>
      </c>
      <c r="D20" s="3" t="e">
        <f t="shared" si="3"/>
        <v>#REF!</v>
      </c>
      <c r="E20" s="3" t="e">
        <f t="shared" si="3"/>
        <v>#REF!</v>
      </c>
      <c r="F20" s="3" t="e">
        <f t="shared" si="3"/>
        <v>#REF!</v>
      </c>
      <c r="G20" s="3" t="e">
        <f t="shared" si="3"/>
        <v>#REF!</v>
      </c>
    </row>
    <row r="21" spans="1:7">
      <c r="A21" s="1" t="e">
        <f t="shared" si="2"/>
        <v>#REF!</v>
      </c>
      <c r="B21" s="3" t="e">
        <f t="shared" si="3"/>
        <v>#REF!</v>
      </c>
      <c r="C21" s="3" t="e">
        <f t="shared" si="3"/>
        <v>#REF!</v>
      </c>
      <c r="D21" s="3" t="e">
        <f t="shared" si="3"/>
        <v>#REF!</v>
      </c>
      <c r="E21" s="3" t="e">
        <f t="shared" si="3"/>
        <v>#REF!</v>
      </c>
      <c r="F21" s="3" t="e">
        <f t="shared" si="3"/>
        <v>#REF!</v>
      </c>
      <c r="G21" s="3" t="e">
        <f t="shared" si="3"/>
        <v>#REF!</v>
      </c>
    </row>
    <row r="22" spans="1:7">
      <c r="A22" s="1" t="e">
        <f t="shared" si="2"/>
        <v>#REF!</v>
      </c>
      <c r="B22" s="3" t="e">
        <f t="shared" ref="B22:G22" si="4">IFERROR(VLOOKUP(B11,$A$40:$B$50,2,FALSE),B21)</f>
        <v>#REF!</v>
      </c>
      <c r="C22" s="3" t="e">
        <f t="shared" si="4"/>
        <v>#REF!</v>
      </c>
      <c r="D22" s="3" t="e">
        <f t="shared" si="4"/>
        <v>#REF!</v>
      </c>
      <c r="E22" s="3" t="e">
        <f t="shared" si="4"/>
        <v>#REF!</v>
      </c>
      <c r="F22" s="3" t="e">
        <f t="shared" si="4"/>
        <v>#REF!</v>
      </c>
      <c r="G22" s="3" t="e">
        <f t="shared" si="4"/>
        <v>#REF!</v>
      </c>
    </row>
    <row r="23" spans="1:7">
      <c r="B23" s="3"/>
      <c r="C23" s="3"/>
      <c r="D23" s="3"/>
      <c r="E23" s="3"/>
      <c r="F23" s="3"/>
      <c r="G23" s="3"/>
    </row>
    <row r="24" spans="1:7">
      <c r="A24" s="8" t="s">
        <v>23</v>
      </c>
      <c r="B24" s="6" t="s">
        <v>24</v>
      </c>
      <c r="C24" s="6"/>
    </row>
    <row r="25" spans="1:7">
      <c r="A25" s="1" t="str">
        <f>A14</f>
        <v>Stage</v>
      </c>
      <c r="B25" s="2" t="e">
        <f>#REF!</f>
        <v>#REF!</v>
      </c>
      <c r="D25" s="2" t="e">
        <f>#REF!</f>
        <v>#REF!</v>
      </c>
      <c r="E25" s="2"/>
      <c r="F25" s="2" t="e">
        <f>#REF!</f>
        <v>#REF!</v>
      </c>
    </row>
    <row r="26" spans="1:7">
      <c r="A26" s="1" t="s">
        <v>25</v>
      </c>
      <c r="B26" s="7" t="e">
        <f>AVERAGE(B27:B32)</f>
        <v>#REF!</v>
      </c>
      <c r="C26" s="7"/>
      <c r="D26" s="7" t="e">
        <f>AVERAGE(D27:D32)</f>
        <v>#REF!</v>
      </c>
      <c r="E26" s="7"/>
      <c r="F26" s="7" t="e">
        <f>AVERAGE(F27:F32)</f>
        <v>#REF!</v>
      </c>
      <c r="G26" s="7"/>
    </row>
    <row r="27" spans="1:7">
      <c r="A27" s="1" t="e">
        <f t="shared" ref="A27:A33" si="5">A16</f>
        <v>#REF!</v>
      </c>
      <c r="B27" s="3" t="e">
        <f>HLOOKUP($A5,#REF!,23,FALSE)</f>
        <v>#REF!</v>
      </c>
      <c r="C27" s="3"/>
      <c r="D27" s="3" t="e">
        <f>HLOOKUP($A5,#REF!,23,FALSE)</f>
        <v>#REF!</v>
      </c>
      <c r="E27" s="10"/>
      <c r="F27" s="3" t="e">
        <f>HLOOKUP($A5,#REF!,23,FALSE)</f>
        <v>#REF!</v>
      </c>
      <c r="G27" s="10"/>
    </row>
    <row r="28" spans="1:7">
      <c r="A28" s="1" t="e">
        <f t="shared" si="5"/>
        <v>#REF!</v>
      </c>
      <c r="B28" s="3" t="e">
        <f>HLOOKUP($A6,#REF!,23,FALSE)</f>
        <v>#REF!</v>
      </c>
      <c r="C28" s="3"/>
      <c r="D28" s="3" t="e">
        <f>HLOOKUP($A6,#REF!,23,FALSE)</f>
        <v>#REF!</v>
      </c>
      <c r="E28" s="10"/>
      <c r="F28" s="3" t="e">
        <f>HLOOKUP($A6,#REF!,23,FALSE)</f>
        <v>#REF!</v>
      </c>
      <c r="G28" s="10"/>
    </row>
    <row r="29" spans="1:7">
      <c r="A29" s="1" t="e">
        <f t="shared" si="5"/>
        <v>#REF!</v>
      </c>
      <c r="B29" s="3" t="e">
        <f>HLOOKUP($A7,#REF!,23,FALSE)</f>
        <v>#REF!</v>
      </c>
      <c r="C29" s="3"/>
      <c r="D29" s="3" t="e">
        <f>HLOOKUP($A7,#REF!,23,FALSE)</f>
        <v>#REF!</v>
      </c>
      <c r="E29" s="10"/>
      <c r="F29" s="3" t="e">
        <f>HLOOKUP($A7,#REF!,23,FALSE)</f>
        <v>#REF!</v>
      </c>
      <c r="G29" s="10"/>
    </row>
    <row r="30" spans="1:7">
      <c r="A30" s="1" t="e">
        <f t="shared" si="5"/>
        <v>#REF!</v>
      </c>
      <c r="B30" s="3" t="e">
        <f>HLOOKUP($A8,#REF!,23,FALSE)</f>
        <v>#REF!</v>
      </c>
      <c r="C30" s="3"/>
      <c r="D30" s="3" t="e">
        <f>HLOOKUP($A8,#REF!,23,FALSE)</f>
        <v>#REF!</v>
      </c>
      <c r="E30" s="10"/>
      <c r="F30" s="3" t="e">
        <f>HLOOKUP($A8,#REF!,23,FALSE)</f>
        <v>#REF!</v>
      </c>
      <c r="G30" s="10"/>
    </row>
    <row r="31" spans="1:7">
      <c r="A31" s="1" t="e">
        <f t="shared" si="5"/>
        <v>#REF!</v>
      </c>
      <c r="B31" s="3" t="e">
        <f>HLOOKUP($A9,#REF!,23,FALSE)</f>
        <v>#REF!</v>
      </c>
      <c r="C31" s="3"/>
      <c r="D31" s="3" t="e">
        <f>HLOOKUP($A9,#REF!,23,FALSE)</f>
        <v>#REF!</v>
      </c>
      <c r="E31" s="10"/>
      <c r="F31" s="3" t="e">
        <f>HLOOKUP($A9,#REF!,23,FALSE)</f>
        <v>#REF!</v>
      </c>
      <c r="G31" s="10"/>
    </row>
    <row r="32" spans="1:7">
      <c r="A32" s="1" t="e">
        <f t="shared" si="5"/>
        <v>#REF!</v>
      </c>
      <c r="B32" s="3" t="e">
        <f>HLOOKUP($A10,#REF!,23,FALSE)</f>
        <v>#REF!</v>
      </c>
      <c r="C32" s="3"/>
      <c r="D32" s="3" t="e">
        <f>HLOOKUP($A10,#REF!,23,FALSE)</f>
        <v>#REF!</v>
      </c>
      <c r="E32" s="10"/>
      <c r="F32" s="3" t="e">
        <f>HLOOKUP($A10,#REF!,23,FALSE)</f>
        <v>#REF!</v>
      </c>
      <c r="G32" s="10"/>
    </row>
    <row r="33" spans="1:7">
      <c r="A33" s="1" t="e">
        <f t="shared" si="5"/>
        <v>#REF!</v>
      </c>
      <c r="B33" s="3">
        <f>IFERROR(HLOOKUP($A11,#REF!,23,FALSE),F33)</f>
        <v>0</v>
      </c>
      <c r="C33" s="13"/>
      <c r="D33" s="3">
        <f>IFERROR(HLOOKUP($A11,#REF!,23,FALSE),H33)</f>
        <v>0</v>
      </c>
      <c r="E33" s="10"/>
      <c r="F33" s="3">
        <f>IFERROR(HLOOKUP($A11,#REF!,23,FALSE),J33)</f>
        <v>0</v>
      </c>
      <c r="G33" s="3"/>
    </row>
    <row r="34" spans="1:7">
      <c r="B34" s="13"/>
    </row>
    <row r="39" spans="1:7">
      <c r="A39" s="9" t="s">
        <v>26</v>
      </c>
    </row>
    <row r="40" spans="1:7">
      <c r="A40" s="4" t="s">
        <v>27</v>
      </c>
      <c r="B40" s="2">
        <v>11</v>
      </c>
    </row>
    <row r="41" spans="1:7">
      <c r="A41" s="4" t="s">
        <v>16</v>
      </c>
      <c r="B41" s="2">
        <v>10</v>
      </c>
    </row>
    <row r="42" spans="1:7">
      <c r="A42" s="4" t="s">
        <v>6</v>
      </c>
      <c r="B42" s="2">
        <v>9</v>
      </c>
    </row>
    <row r="43" spans="1:7">
      <c r="A43" s="4" t="s">
        <v>7</v>
      </c>
      <c r="B43" s="2">
        <v>8</v>
      </c>
    </row>
    <row r="44" spans="1:7">
      <c r="A44" s="4" t="s">
        <v>28</v>
      </c>
      <c r="B44" s="2">
        <v>7</v>
      </c>
    </row>
    <row r="45" spans="1:7">
      <c r="A45" s="4">
        <v>0</v>
      </c>
      <c r="B45" s="2">
        <v>6</v>
      </c>
    </row>
    <row r="46" spans="1:7">
      <c r="A46" s="4" t="s">
        <v>15</v>
      </c>
      <c r="B46" s="2">
        <v>5</v>
      </c>
    </row>
    <row r="47" spans="1:7">
      <c r="A47" s="4" t="s">
        <v>13</v>
      </c>
      <c r="B47" s="2">
        <v>4</v>
      </c>
    </row>
    <row r="48" spans="1:7">
      <c r="A48" s="4" t="s">
        <v>14</v>
      </c>
      <c r="B48" s="2">
        <v>3</v>
      </c>
    </row>
    <row r="49" spans="1:3">
      <c r="A49" s="4" t="s">
        <v>29</v>
      </c>
      <c r="B49" s="2">
        <v>2</v>
      </c>
    </row>
    <row r="50" spans="1:3">
      <c r="A50" s="4" t="s">
        <v>30</v>
      </c>
      <c r="B50" s="2">
        <v>1</v>
      </c>
    </row>
    <row r="51" spans="1:3">
      <c r="A51" s="4"/>
    </row>
    <row r="64" spans="1:3" ht="35">
      <c r="A64" s="12"/>
      <c r="B64" s="11"/>
      <c r="C64" s="11"/>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9F7226BF7A21C46A9CC7F6A95D36154" ma:contentTypeVersion="6" ma:contentTypeDescription="Create a new document." ma:contentTypeScope="" ma:versionID="75604bb8a6e9fcc7eebc992cd0d101cd">
  <xsd:schema xmlns:xsd="http://www.w3.org/2001/XMLSchema" xmlns:xs="http://www.w3.org/2001/XMLSchema" xmlns:p="http://schemas.microsoft.com/office/2006/metadata/properties" xmlns:ns2="59e4727c-108c-424f-ae45-9c9c679bc9b0" targetNamespace="http://schemas.microsoft.com/office/2006/metadata/properties" ma:root="true" ma:fieldsID="2b5869a4b5e49810de20e861e20120ba" ns2:_="">
    <xsd:import namespace="59e4727c-108c-424f-ae45-9c9c679bc9b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e4727c-108c-424f-ae45-9c9c679bc9b0"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5F481D-6969-402A-A078-F32614FA8426}">
  <ds:schemaRefs>
    <ds:schemaRef ds:uri="http://schemas.microsoft.com/sharepoint/v3/contenttype/forms"/>
  </ds:schemaRefs>
</ds:datastoreItem>
</file>

<file path=customXml/itemProps2.xml><?xml version="1.0" encoding="utf-8"?>
<ds:datastoreItem xmlns:ds="http://schemas.openxmlformats.org/officeDocument/2006/customXml" ds:itemID="{45673CD1-B162-4998-9AC0-30F899D5BA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e4727c-108c-424f-ae45-9c9c679bc9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079F69-68E3-4224-82FB-9851930F8CF1}">
  <ds:schemaRefs>
    <ds:schemaRef ds:uri="http://schemas.microsoft.com/office/2006/metadata/properties"/>
    <ds:schemaRef ds:uri="http://schemas.microsoft.com/office/2006/documentManagement/types"/>
    <ds:schemaRef ds:uri="http://purl.org/dc/dcmitype/"/>
    <ds:schemaRef ds:uri="http://purl.org/dc/terms/"/>
    <ds:schemaRef ds:uri="http://schemas.microsoft.com/office/infopath/2007/PartnerControls"/>
    <ds:schemaRef ds:uri="http://purl.org/dc/elements/1.1/"/>
    <ds:schemaRef ds:uri="http://schemas.openxmlformats.org/package/2006/metadata/core-properties"/>
    <ds:schemaRef ds:uri="59e4727c-108c-424f-ae45-9c9c679bc9b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Personas &amp; Scenarios</vt:lpstr>
      <vt:lpstr>Journey Map Template</vt:lpstr>
      <vt:lpstr>CHART DATA - DO NOT ALTER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Journey Mapping Tool </dc:title>
  <dc:subject/>
  <dc:creator>Office 2004 Test Drive User</dc:creator>
  <cp:keywords/>
  <dc:description/>
  <cp:lastModifiedBy>Jeffrey Wallk</cp:lastModifiedBy>
  <cp:revision/>
  <dcterms:created xsi:type="dcterms:W3CDTF">2014-11-26T15:07:12Z</dcterms:created>
  <dcterms:modified xsi:type="dcterms:W3CDTF">2019-03-15T20:50:25Z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0x01010019F7226BF7A21C46A9CC7F6A95D36154</vt:lpwstr>
  </property>
  <property fmtid="{D5CDD505-2E9C-101B-9397-08002B2CF9AE}" pid="3" name="Test1 Category">
    <vt:lpwstr>190;#Relationship Journey Mapping|21bd117f-ee61-4179-84f1-52e6a8724623</vt:lpwstr>
  </property>
  <property fmtid="{D5CDD505-2E9C-101B-9397-08002B2CF9AE}" pid="4" name="DocType">
    <vt:lpwstr>225;#Intellectual Property|4251fb16-bcb3-499d-b39c-2016926b2c92</vt:lpwstr>
  </property>
  <property fmtid="{D5CDD505-2E9C-101B-9397-08002B2CF9AE}" pid="5" name="FPOV Category">
    <vt:lpwstr>39;#Relationship Journey Mapping|d80742e9-7821-49b5-9a86-ee503d150260</vt:lpwstr>
  </property>
  <property fmtid="{D5CDD505-2E9C-101B-9397-08002B2CF9AE}" pid="6" name="FPOV Client Prospect">
    <vt:lpwstr>82;#Kimray Inc.|e56a517d-eede-4104-9043-b257345bd4ac</vt:lpwstr>
  </property>
  <property fmtid="{D5CDD505-2E9C-101B-9397-08002B2CF9AE}" pid="7" name="FPOV Alternate Tags">
    <vt:lpwstr/>
  </property>
  <property fmtid="{D5CDD505-2E9C-101B-9397-08002B2CF9AE}" pid="8" name="FPOV DocType">
    <vt:lpwstr>36;#Template and Tools|05534ae8-fbce-43b6-b3fc-4782e7083e0f</vt:lpwstr>
  </property>
  <property fmtid="{D5CDD505-2E9C-101B-9397-08002B2CF9AE}" pid="9" name="Product">
    <vt:lpwstr>1</vt:lpwstr>
  </property>
  <property fmtid="{D5CDD505-2E9C-101B-9397-08002B2CF9AE}" pid="10" name="n404ffe4294045489572aa428b371f62">
    <vt:lpwstr>Relationship Journey Mapping|21bd117f-ee61-4179-84f1-52e6a8724623</vt:lpwstr>
  </property>
  <property fmtid="{D5CDD505-2E9C-101B-9397-08002B2CF9AE}" pid="11" name="ef12cfcebdd148bea3c2b2e1b2dd4590">
    <vt:lpwstr>Intellectual Property|4251fb16-bcb3-499d-b39c-2016926b2c92</vt:lpwstr>
  </property>
  <property fmtid="{D5CDD505-2E9C-101B-9397-08002B2CF9AE}" pid="12" name="TaxCatchAll">
    <vt:lpwstr>190;#;#225;#</vt:lpwstr>
  </property>
  <property fmtid="{D5CDD505-2E9C-101B-9397-08002B2CF9AE}" pid="13" name="Productization Status">
    <vt:lpwstr>Reviewed / Ready for Client Use</vt:lpwstr>
  </property>
  <property fmtid="{D5CDD505-2E9C-101B-9397-08002B2CF9AE}" pid="14" name="Document Internal or Client Facing?">
    <vt:lpwstr>Intended for Clients to See</vt:lpwstr>
  </property>
  <property fmtid="{D5CDD505-2E9C-101B-9397-08002B2CF9AE}" pid="15" name="SharedWithUsers">
    <vt:lpwstr>43;#Vaughn Rachal;#48;#Scott Klososky;#41;#Andrew Ranson</vt:lpwstr>
  </property>
  <property fmtid="{D5CDD505-2E9C-101B-9397-08002B2CF9AE}" pid="16" name="xd_Signature">
    <vt:bool>false</vt:bool>
  </property>
  <property fmtid="{D5CDD505-2E9C-101B-9397-08002B2CF9AE}" pid="17" name="xd_ProgID">
    <vt:lpwstr/>
  </property>
  <property fmtid="{D5CDD505-2E9C-101B-9397-08002B2CF9AE}" pid="18" name="_SourceUrl">
    <vt:lpwstr/>
  </property>
  <property fmtid="{D5CDD505-2E9C-101B-9397-08002B2CF9AE}" pid="19" name="_SharedFileIndex">
    <vt:lpwstr/>
  </property>
  <property fmtid="{D5CDD505-2E9C-101B-9397-08002B2CF9AE}" pid="20" name="TemplateUrl">
    <vt:lpwstr/>
  </property>
  <property fmtid="{D5CDD505-2E9C-101B-9397-08002B2CF9AE}" pid="21" name="ComplianceAssetId">
    <vt:lpwstr/>
  </property>
</Properties>
</file>