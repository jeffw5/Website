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filterPrivacy="1" hidePivotFieldList="1"/>
  <xr:revisionPtr revIDLastSave="0" documentId="13_ncr:1_{28856111-EC92-3243-BE38-A8E77991BEB3}" xr6:coauthVersionLast="34" xr6:coauthVersionMax="34" xr10:uidLastSave="{00000000-0000-0000-0000-000000000000}"/>
  <bookViews>
    <workbookView xWindow="280" yWindow="520" windowWidth="21040" windowHeight="17640" xr2:uid="{00000000-000D-0000-FFFF-FFFF00000000}"/>
  </bookViews>
  <sheets>
    <sheet name="Sheet1" sheetId="1" r:id="rId1"/>
  </sheets>
  <calcPr calcId="179017"/>
  <pivotCaches>
    <pivotCache cacheId="0" r:id="rId2"/>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8" i="1" l="1"/>
  <c r="G17" i="1"/>
  <c r="G16" i="1"/>
  <c r="G14" i="1"/>
  <c r="G13" i="1"/>
  <c r="G12" i="1"/>
  <c r="G11" i="1"/>
  <c r="G9" i="1"/>
  <c r="G8" i="1"/>
  <c r="G7" i="1"/>
  <c r="G6" i="1"/>
  <c r="G5" i="1"/>
  <c r="G4" i="1"/>
  <c r="G19" i="1" l="1"/>
</calcChain>
</file>

<file path=xl/sharedStrings.xml><?xml version="1.0" encoding="utf-8"?>
<sst xmlns="http://schemas.openxmlformats.org/spreadsheetml/2006/main" count="45" uniqueCount="31">
  <si>
    <t>Total</t>
  </si>
  <si>
    <t>Enterprise Architect</t>
  </si>
  <si>
    <t>EA Director</t>
  </si>
  <si>
    <r>
      <rPr>
        <b/>
        <sz val="11"/>
        <color theme="1"/>
        <rFont val="Calibri"/>
        <family val="2"/>
        <scheme val="minor"/>
      </rPr>
      <t xml:space="preserve">PLEASE NOTE: </t>
    </r>
    <r>
      <rPr>
        <sz val="11"/>
        <color theme="1"/>
        <rFont val="Calibri"/>
        <family val="2"/>
        <scheme val="minor"/>
      </rPr>
      <t>that the above tasks are overlapping and some run concurrently and therefore the each resources estimates are not linear and cumulative. Same resources may work on few concurrent tasks reducing the Net Ask from that individual.</t>
    </r>
  </si>
  <si>
    <t>Est. Hrs</t>
  </si>
  <si>
    <t>Weeks</t>
  </si>
  <si>
    <t>Business Analyst / SME</t>
  </si>
  <si>
    <t>Business Portfolio Lead</t>
  </si>
  <si>
    <t>Finance (IT)</t>
  </si>
  <si>
    <t>IT Leader</t>
  </si>
  <si>
    <t>Suggested Inputs</t>
  </si>
  <si>
    <t>Totals</t>
  </si>
  <si>
    <t>Domain Architects</t>
  </si>
  <si>
    <t>Grand Total</t>
  </si>
  <si>
    <t>Organization Chart, Product Portfolio, Services, List of Value Streams, Lifecycle Development</t>
  </si>
  <si>
    <t>Corporate Glossary (Terms)</t>
  </si>
  <si>
    <t>Rough Estimates of What we need from MOHRE Teams:</t>
  </si>
  <si>
    <t>MOHRE Stakeholders</t>
  </si>
  <si>
    <t>a. List of AI Projects</t>
  </si>
  <si>
    <t>b. Assessment of Short Term Opportunities</t>
  </si>
  <si>
    <t>c. Draft Outline for Long Term Forward Plan</t>
  </si>
  <si>
    <t>Systems Overview (Business, Integration Points, Services, Operations Flows)</t>
  </si>
  <si>
    <t>Domain Expert / SME</t>
  </si>
  <si>
    <t>Business Operation Lead</t>
  </si>
  <si>
    <t>Business Functions, Business Processes, Overview of Decision Making (hierachical, federated, criteria used, evaluation)</t>
  </si>
  <si>
    <t>Stakeholders</t>
  </si>
  <si>
    <t>Goals, Objectives, 'Metrics/KPIs</t>
  </si>
  <si>
    <t>List of employee attributes (e.g. classifications, demographics, etc.), List of Performance Measures, List of gaps / concerns that are high priority (short term, long term)</t>
  </si>
  <si>
    <r>
      <t xml:space="preserve">Approach:
</t>
    </r>
    <r>
      <rPr>
        <sz val="10"/>
        <color theme="1"/>
        <rFont val="Arial"/>
        <family val="2"/>
      </rPr>
      <t>Obtain overview of Biz Architecture &amp; Identify Initial List of Projects mapped to Risk &amp; Value</t>
    </r>
  </si>
  <si>
    <r>
      <rPr>
        <b/>
        <sz val="10"/>
        <color theme="1"/>
        <rFont val="Arial"/>
        <family val="2"/>
      </rPr>
      <t xml:space="preserve">Approach:
</t>
    </r>
    <r>
      <rPr>
        <sz val="10"/>
        <color rgb="FF000000"/>
        <rFont val="Arial"/>
        <family val="2"/>
      </rPr>
      <t xml:space="preserve">Identify list of measures (features) to use for assessing operational AI opportunities.
Identify 3-6 projects as quick wins for Stage 2
</t>
    </r>
  </si>
  <si>
    <r>
      <rPr>
        <b/>
        <sz val="10"/>
        <color rgb="FF000000"/>
        <rFont val="Arial"/>
        <family val="2"/>
      </rPr>
      <t xml:space="preserve">Approach: 
</t>
    </r>
    <r>
      <rPr>
        <sz val="10"/>
        <color rgb="FF000000"/>
        <rFont val="Arial"/>
        <family val="2"/>
      </rPr>
      <t>Draft outline covering AI vision for HR supported by a progression of projects that address horizontal &amp; vertical concerns in the future.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</si>
</sst>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theme="1"/>
      <name val="Arial"/>
      <family val="2"/>
    </font>
    <font>
      <sz val="10"/>
      <color rgb="FF000000"/>
      <name val="Arial"/>
      <family val="2"/>
    </font>
    <font>
      <b/>
      <sz val="10"/>
      <color theme="1"/>
      <name val="Arial"/>
      <family val="2"/>
    </font>
    <font>
      <b/>
      <sz val="10"/>
      <color rgb="FF000000"/>
      <name val="Arial"/>
      <family val="2"/>
    </font>
    <font>
      <b/>
      <sz val="12"/>
      <color theme="1"/>
      <name val="Calibri"/>
      <family val="2"/>
      <scheme val="minor"/>
    </font>
    <font>
      <b/>
      <sz val="11"/>
      <color theme="1"/>
      <name val="Arial"/>
      <family val="2"/>
    </font>
    <font>
      <sz val="9"/>
      <color theme="1"/>
      <name val="Arial"/>
      <family val="2"/>
    </font>
    <font>
      <sz val="9"/>
      <color theme="1"/>
      <name val="Calibri"/>
      <family val="2"/>
      <scheme val="minor"/>
    </font>
    <font>
      <b/>
      <sz val="9"/>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rgb="FFD6D6D6"/>
        <bgColor indexed="64"/>
      </patternFill>
    </fill>
    <fill>
      <patternFill patternType="solid">
        <fgColor theme="2"/>
        <bgColor indexed="64"/>
      </patternFill>
    </fill>
    <fill>
      <patternFill patternType="solid">
        <fgColor theme="9"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8" fillId="0" borderId="1" xfId="0" applyFont="1" applyBorder="1" applyAlignment="1">
      <alignment horizontal="center"/>
    </xf>
    <xf numFmtId="0" fontId="9" fillId="0" borderId="1"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8" xfId="0" applyFont="1" applyBorder="1" applyAlignment="1">
      <alignment horizontal="center"/>
    </xf>
    <xf numFmtId="0" fontId="8" fillId="0" borderId="11" xfId="0" applyFont="1" applyBorder="1" applyAlignment="1">
      <alignment horizontal="center"/>
    </xf>
    <xf numFmtId="0" fontId="9" fillId="0" borderId="5" xfId="0" applyFont="1" applyBorder="1" applyAlignment="1">
      <alignment horizontal="center"/>
    </xf>
    <xf numFmtId="0" fontId="9" fillId="0" borderId="11" xfId="0" applyFont="1" applyBorder="1" applyAlignment="1">
      <alignment horizontal="center"/>
    </xf>
    <xf numFmtId="0" fontId="8" fillId="4" borderId="4" xfId="0" quotePrefix="1" applyFont="1" applyFill="1" applyBorder="1" applyAlignment="1">
      <alignment horizontal="left" vertical="center" wrapText="1" readingOrder="1"/>
    </xf>
    <xf numFmtId="0" fontId="8" fillId="0" borderId="4" xfId="0" quotePrefix="1" applyFont="1" applyBorder="1" applyAlignment="1">
      <alignment horizontal="left" wrapText="1"/>
    </xf>
    <xf numFmtId="0" fontId="8" fillId="4" borderId="2" xfId="0" quotePrefix="1" applyFont="1" applyFill="1" applyBorder="1" applyAlignment="1">
      <alignment horizontal="left" vertical="center" wrapText="1" readingOrder="1"/>
    </xf>
    <xf numFmtId="0" fontId="8" fillId="0" borderId="2" xfId="0" quotePrefix="1" applyFont="1" applyBorder="1" applyAlignment="1">
      <alignment horizontal="left" wrapText="1"/>
    </xf>
    <xf numFmtId="0" fontId="8" fillId="0" borderId="2" xfId="0" applyFont="1" applyBorder="1" applyAlignment="1">
      <alignment horizontal="left"/>
    </xf>
    <xf numFmtId="0" fontId="8" fillId="4" borderId="10" xfId="0" quotePrefix="1" applyFont="1" applyFill="1" applyBorder="1" applyAlignment="1">
      <alignment horizontal="left" vertical="center" wrapText="1" readingOrder="1"/>
    </xf>
    <xf numFmtId="0" fontId="8" fillId="0" borderId="10" xfId="0" applyFont="1" applyBorder="1" applyAlignment="1">
      <alignment horizontal="left"/>
    </xf>
    <xf numFmtId="0" fontId="8" fillId="0" borderId="5" xfId="0" quotePrefix="1" applyFont="1" applyBorder="1" applyAlignment="1">
      <alignment horizontal="left" wrapText="1"/>
    </xf>
    <xf numFmtId="0" fontId="9" fillId="0" borderId="5" xfId="0" applyFont="1" applyBorder="1" applyAlignment="1">
      <alignment horizontal="left"/>
    </xf>
    <xf numFmtId="0" fontId="8" fillId="0" borderId="1" xfId="0" quotePrefix="1" applyFont="1" applyBorder="1" applyAlignment="1">
      <alignment horizontal="left" wrapText="1"/>
    </xf>
    <xf numFmtId="0" fontId="9" fillId="0" borderId="1" xfId="0" applyFont="1" applyBorder="1" applyAlignment="1">
      <alignment horizontal="left"/>
    </xf>
    <xf numFmtId="0" fontId="8" fillId="0" borderId="11" xfId="0" quotePrefix="1" applyFont="1" applyFill="1" applyBorder="1" applyAlignment="1">
      <alignment horizontal="left" wrapText="1"/>
    </xf>
    <xf numFmtId="0" fontId="9" fillId="0" borderId="11" xfId="0" applyFont="1" applyBorder="1" applyAlignment="1">
      <alignment horizontal="left"/>
    </xf>
    <xf numFmtId="0" fontId="8" fillId="0" borderId="1" xfId="0" applyFont="1" applyFill="1" applyBorder="1" applyAlignment="1">
      <alignment horizontal="left" wrapText="1"/>
    </xf>
    <xf numFmtId="0" fontId="8" fillId="0" borderId="11" xfId="0" applyFont="1" applyFill="1" applyBorder="1" applyAlignment="1">
      <alignment horizontal="left" wrapText="1"/>
    </xf>
    <xf numFmtId="0" fontId="8" fillId="0" borderId="5" xfId="0" applyFont="1" applyFill="1" applyBorder="1" applyAlignment="1">
      <alignment horizontal="left" wrapText="1"/>
    </xf>
    <xf numFmtId="0" fontId="8" fillId="0" borderId="4" xfId="0" applyFont="1" applyBorder="1" applyAlignment="1">
      <alignment horizontal="center"/>
    </xf>
    <xf numFmtId="0" fontId="8" fillId="0" borderId="2" xfId="0" applyFont="1" applyBorder="1" applyAlignment="1">
      <alignment horizontal="center"/>
    </xf>
    <xf numFmtId="0" fontId="8" fillId="0" borderId="19" xfId="0" applyFont="1" applyBorder="1" applyAlignment="1">
      <alignment horizontal="center"/>
    </xf>
    <xf numFmtId="0" fontId="8" fillId="0" borderId="16" xfId="0" applyFont="1" applyBorder="1" applyAlignment="1">
      <alignment horizontal="center"/>
    </xf>
    <xf numFmtId="0" fontId="9" fillId="0" borderId="21" xfId="0" applyFont="1" applyBorder="1" applyAlignment="1">
      <alignment horizontal="center"/>
    </xf>
    <xf numFmtId="0" fontId="0" fillId="0" borderId="0" xfId="0" applyNumberFormat="1"/>
    <xf numFmtId="0" fontId="0" fillId="0" borderId="0" xfId="0" applyAlignment="1">
      <alignment horizontal="left"/>
    </xf>
    <xf numFmtId="0" fontId="0" fillId="5" borderId="0" xfId="0" applyNumberFormat="1" applyFill="1"/>
    <xf numFmtId="0" fontId="0" fillId="5" borderId="0" xfId="0" applyFill="1" applyAlignment="1">
      <alignment horizontal="center"/>
    </xf>
    <xf numFmtId="0" fontId="0" fillId="0" borderId="0" xfId="0" pivotButton="1"/>
    <xf numFmtId="0" fontId="4" fillId="6" borderId="13" xfId="0" applyFont="1" applyFill="1" applyBorder="1" applyAlignment="1">
      <alignment horizontal="left" wrapText="1" readingOrder="1"/>
    </xf>
    <xf numFmtId="0" fontId="9" fillId="6" borderId="17" xfId="0" applyFont="1" applyFill="1" applyBorder="1" applyAlignment="1">
      <alignment horizontal="left"/>
    </xf>
    <xf numFmtId="0" fontId="0" fillId="6" borderId="17" xfId="0" applyFill="1" applyBorder="1" applyAlignment="1">
      <alignment horizontal="left"/>
    </xf>
    <xf numFmtId="0" fontId="0" fillId="6" borderId="20" xfId="0" applyFill="1" applyBorder="1" applyAlignment="1">
      <alignment horizontal="left"/>
    </xf>
    <xf numFmtId="0" fontId="0" fillId="6" borderId="18" xfId="0" applyFill="1" applyBorder="1" applyAlignment="1">
      <alignment horizontal="left"/>
    </xf>
    <xf numFmtId="0" fontId="4" fillId="6" borderId="17" xfId="0" applyFont="1" applyFill="1" applyBorder="1" applyAlignment="1">
      <alignment horizontal="center" vertical="center" wrapText="1" readingOrder="1"/>
    </xf>
    <xf numFmtId="0" fontId="7" fillId="6" borderId="17" xfId="0" applyFont="1" applyFill="1" applyBorder="1" applyAlignment="1">
      <alignment horizontal="center" vertical="center"/>
    </xf>
    <xf numFmtId="0" fontId="7" fillId="6" borderId="20" xfId="0" applyFont="1" applyFill="1" applyBorder="1" applyAlignment="1">
      <alignment horizontal="center" vertical="center"/>
    </xf>
    <xf numFmtId="0" fontId="7" fillId="6" borderId="18" xfId="0" applyFont="1" applyFill="1" applyBorder="1" applyAlignment="1">
      <alignment horizontal="center" vertical="center"/>
    </xf>
    <xf numFmtId="0" fontId="4" fillId="7" borderId="14" xfId="0" applyFont="1" applyFill="1" applyBorder="1" applyAlignment="1">
      <alignment horizontal="center" vertical="center" wrapText="1" readingOrder="1"/>
    </xf>
    <xf numFmtId="0" fontId="0" fillId="7" borderId="15" xfId="0" applyFill="1" applyBorder="1" applyAlignment="1">
      <alignment horizontal="left"/>
    </xf>
    <xf numFmtId="0" fontId="8" fillId="7" borderId="15" xfId="0" applyFont="1" applyFill="1" applyBorder="1" applyAlignment="1">
      <alignment horizontal="left" wrapText="1"/>
    </xf>
    <xf numFmtId="0" fontId="9" fillId="7" borderId="15" xfId="0" applyFont="1" applyFill="1" applyBorder="1" applyAlignment="1">
      <alignment horizontal="left"/>
    </xf>
    <xf numFmtId="0" fontId="9" fillId="7" borderId="19" xfId="0" applyFont="1" applyFill="1" applyBorder="1" applyAlignment="1">
      <alignment horizontal="left"/>
    </xf>
    <xf numFmtId="0" fontId="10" fillId="7" borderId="16" xfId="0" applyFont="1" applyFill="1" applyBorder="1" applyAlignment="1">
      <alignment horizontal="center"/>
    </xf>
    <xf numFmtId="0" fontId="4" fillId="6" borderId="13" xfId="0" applyFont="1" applyFill="1" applyBorder="1" applyAlignment="1">
      <alignment horizontal="left" vertical="center" wrapText="1" readingOrder="1"/>
    </xf>
    <xf numFmtId="0" fontId="3" fillId="3" borderId="12" xfId="0" applyFont="1" applyFill="1" applyBorder="1" applyAlignment="1">
      <alignment horizontal="left" vertical="center" wrapText="1" readingOrder="1"/>
    </xf>
    <xf numFmtId="0" fontId="2" fillId="3" borderId="13" xfId="0" applyFont="1" applyFill="1" applyBorder="1" applyAlignment="1">
      <alignment horizontal="left" vertical="center" wrapText="1" readingOrder="1"/>
    </xf>
    <xf numFmtId="0" fontId="2" fillId="3" borderId="14" xfId="0" applyFont="1" applyFill="1" applyBorder="1" applyAlignment="1">
      <alignment horizontal="left" vertical="center" wrapText="1" readingOrder="1"/>
    </xf>
    <xf numFmtId="0" fontId="0" fillId="0" borderId="14" xfId="0" applyBorder="1" applyAlignment="1">
      <alignment horizontal="center" wrapText="1"/>
    </xf>
    <xf numFmtId="0" fontId="0" fillId="0" borderId="15" xfId="0" applyBorder="1" applyAlignment="1">
      <alignment horizontal="center" wrapText="1"/>
    </xf>
    <xf numFmtId="0" fontId="0" fillId="0" borderId="19" xfId="0" applyBorder="1" applyAlignment="1">
      <alignment horizontal="center" wrapText="1"/>
    </xf>
    <xf numFmtId="0" fontId="0" fillId="0" borderId="16" xfId="0" applyBorder="1" applyAlignment="1">
      <alignment horizontal="center" wrapText="1"/>
    </xf>
    <xf numFmtId="0" fontId="2" fillId="3" borderId="12" xfId="0" applyFont="1" applyFill="1" applyBorder="1" applyAlignment="1">
      <alignment horizontal="left" vertical="center" wrapText="1" readingOrder="1"/>
    </xf>
    <xf numFmtId="0" fontId="6" fillId="2" borderId="3" xfId="0" applyFont="1" applyFill="1" applyBorder="1" applyAlignment="1">
      <alignment horizontal="center"/>
    </xf>
    <xf numFmtId="0" fontId="6" fillId="2" borderId="5" xfId="0" applyFont="1" applyFill="1" applyBorder="1" applyAlignment="1">
      <alignment horizontal="center"/>
    </xf>
    <xf numFmtId="0" fontId="6" fillId="2" borderId="4" xfId="0" applyFont="1" applyFill="1" applyBorder="1" applyAlignment="1">
      <alignment horizontal="center"/>
    </xf>
    <xf numFmtId="0" fontId="6" fillId="2" borderId="6" xfId="0" applyFont="1" applyFill="1" applyBorder="1" applyAlignment="1">
      <alignment horizontal="center"/>
    </xf>
    <xf numFmtId="0" fontId="4" fillId="3" borderId="3" xfId="0" applyFont="1" applyFill="1" applyBorder="1" applyAlignment="1">
      <alignment horizontal="left" vertical="center" wrapText="1" readingOrder="1"/>
    </xf>
    <xf numFmtId="0" fontId="2" fillId="3" borderId="7" xfId="0" applyFont="1" applyFill="1" applyBorder="1" applyAlignment="1">
      <alignment horizontal="left" vertical="center" wrapText="1" readingOrder="1"/>
    </xf>
    <xf numFmtId="0" fontId="2" fillId="3" borderId="9" xfId="0" applyFont="1" applyFill="1" applyBorder="1" applyAlignment="1">
      <alignment horizontal="left" vertical="center" wrapText="1" readingOrder="1"/>
    </xf>
  </cellXfs>
  <cellStyles count="1">
    <cellStyle name="Normal" xfId="0" builtinId="0"/>
  </cellStyles>
  <dxfs count="5">
    <dxf>
      <alignment horizontal="center"/>
    </dxf>
    <dxf>
      <alignment horizontal="center"/>
    </dxf>
    <dxf>
      <fill>
        <patternFill patternType="solid">
          <bgColor rgb="FFD6D6D6"/>
        </patternFill>
      </fill>
    </dxf>
    <dxf>
      <fill>
        <patternFill patternType="solid">
          <bgColor rgb="FFD6D6D6"/>
        </patternFill>
      </fill>
    </dxf>
    <dxf>
      <fill>
        <patternFill patternType="solid">
          <bgColor rgb="FFD6D6D6"/>
        </patternFill>
      </fill>
    </dxf>
  </dxfs>
  <tableStyles count="0" defaultTableStyle="TableStyleMedium2" defaultPivotStyle="PivotStyleLight16"/>
  <colors>
    <mruColors>
      <color rgb="FFD6D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262.391211689814" createdVersion="6" refreshedVersion="6" minRefreshableVersion="3" recordCount="15" xr:uid="{B226317D-AF5A-8A41-AC1B-73981CAE71DA}">
  <cacheSource type="worksheet">
    <worksheetSource ref="D3:G18" sheet="Sheet1"/>
  </cacheSource>
  <cacheFields count="4">
    <cacheField name="MOHRE Stakeholders" numFmtId="0">
      <sharedItems containsBlank="1" count="11">
        <s v="Business Portfolio Lead"/>
        <s v="Business Analyst / SME"/>
        <s v="Business Operation Lead"/>
        <s v="IT Leader"/>
        <s v="Domain Expert / SME"/>
        <m/>
        <s v="Finance (IT)"/>
        <s v="Enterprise Architect"/>
        <s v="EA Director"/>
        <s v="Domain Architects"/>
        <s v="Innovation Lead (IT / Biz)" u="1"/>
      </sharedItems>
    </cacheField>
    <cacheField name="Est. Hrs" numFmtId="0">
      <sharedItems containsString="0" containsBlank="1" containsNumber="1" minValue="0.5" maxValue="4"/>
    </cacheField>
    <cacheField name="Weeks" numFmtId="0">
      <sharedItems containsString="0" containsBlank="1" containsNumber="1" containsInteger="1" minValue="1" maxValue="4"/>
    </cacheField>
    <cacheField name="Total" numFmtId="0">
      <sharedItems containsString="0" containsBlank="1" containsNumber="1" minValue="0.5" maxValue="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2"/>
    <n v="1"/>
    <n v="2"/>
  </r>
  <r>
    <x v="1"/>
    <n v="4"/>
    <n v="1"/>
    <n v="4"/>
  </r>
  <r>
    <x v="2"/>
    <n v="2"/>
    <n v="1"/>
    <n v="2"/>
  </r>
  <r>
    <x v="3"/>
    <n v="4"/>
    <n v="1"/>
    <n v="4"/>
  </r>
  <r>
    <x v="4"/>
    <n v="0.5"/>
    <n v="1"/>
    <n v="0.5"/>
  </r>
  <r>
    <x v="1"/>
    <n v="2"/>
    <n v="1"/>
    <n v="2"/>
  </r>
  <r>
    <x v="5"/>
    <m/>
    <m/>
    <m/>
  </r>
  <r>
    <x v="0"/>
    <n v="2"/>
    <n v="4"/>
    <n v="8"/>
  </r>
  <r>
    <x v="6"/>
    <n v="2"/>
    <n v="4"/>
    <n v="8"/>
  </r>
  <r>
    <x v="7"/>
    <n v="2"/>
    <n v="4"/>
    <n v="8"/>
  </r>
  <r>
    <x v="6"/>
    <n v="2"/>
    <n v="4"/>
    <n v="8"/>
  </r>
  <r>
    <x v="5"/>
    <m/>
    <m/>
    <m/>
  </r>
  <r>
    <x v="8"/>
    <n v="2"/>
    <n v="4"/>
    <n v="8"/>
  </r>
  <r>
    <x v="7"/>
    <n v="4"/>
    <n v="4"/>
    <n v="16"/>
  </r>
  <r>
    <x v="9"/>
    <n v="1"/>
    <n v="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960E4D-B6BF-3447-B25B-31C8159FA1C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keholders">
  <location ref="I3:J13" firstHeaderRow="1" firstDataRow="1" firstDataCol="1"/>
  <pivotFields count="4">
    <pivotField axis="axisRow" showAll="0">
      <items count="12">
        <item x="1"/>
        <item x="2"/>
        <item x="0"/>
        <item x="9"/>
        <item x="4"/>
        <item x="8"/>
        <item x="7"/>
        <item x="6"/>
        <item m="1" x="10"/>
        <item x="3"/>
        <item h="1" x="5"/>
        <item t="default"/>
      </items>
    </pivotField>
    <pivotField showAll="0"/>
    <pivotField showAll="0"/>
    <pivotField dataField="1" showAll="0"/>
  </pivotFields>
  <rowFields count="1">
    <field x="0"/>
  </rowFields>
  <rowItems count="10">
    <i>
      <x/>
    </i>
    <i>
      <x v="1"/>
    </i>
    <i>
      <x v="2"/>
    </i>
    <i>
      <x v="3"/>
    </i>
    <i>
      <x v="4"/>
    </i>
    <i>
      <x v="5"/>
    </i>
    <i>
      <x v="6"/>
    </i>
    <i>
      <x v="7"/>
    </i>
    <i>
      <x v="9"/>
    </i>
    <i t="grand">
      <x/>
    </i>
  </rowItems>
  <colItems count="1">
    <i/>
  </colItems>
  <dataFields count="1">
    <dataField name="Totals" fld="3" baseField="0" baseItem="0"/>
  </dataFields>
  <formats count="5">
    <format dxfId="4">
      <pivotArea grandRow="1" outline="0" collapsedLevelsAreSubtotals="1" fieldPosition="0"/>
    </format>
    <format dxfId="3">
      <pivotArea dataOnly="0" labelOnly="1" grandRow="1" outline="0" fieldPosition="0"/>
    </format>
    <format dxfId="2">
      <pivotArea dataOnly="0" labelOnly="1" outline="0" axis="axisValues" fieldPosition="0"/>
    </format>
    <format dxfId="1">
      <pivotArea dataOnly="0" labelOnly="1" outline="0" axis="axisValues" fieldPosition="0"/>
    </format>
    <format dxfId="0">
      <pivotArea dataOnly="0" labelOnly="1" grandRow="1" outline="0" fieldPosition="0"/>
    </format>
  </formats>
  <pivotTableStyleInfo name="PivotStyleLight3" showRowHeaders="0"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0"/>
  <sheetViews>
    <sheetView tabSelected="1" zoomScale="120" zoomScaleNormal="120" workbookViewId="0">
      <selection activeCell="I3" sqref="I3"/>
    </sheetView>
  </sheetViews>
  <sheetFormatPr baseColWidth="10" defaultColWidth="8.83203125" defaultRowHeight="15" x14ac:dyDescent="0.2"/>
  <cols>
    <col min="1" max="1" width="2.83203125" customWidth="1"/>
    <col min="2" max="2" width="37.6640625" customWidth="1"/>
    <col min="3" max="3" width="26.33203125" customWidth="1"/>
    <col min="4" max="4" width="19.83203125" customWidth="1"/>
    <col min="5" max="5" width="8.1640625" customWidth="1"/>
    <col min="6" max="7" width="7.6640625" customWidth="1"/>
    <col min="9" max="9" width="19.5" bestFit="1" customWidth="1"/>
    <col min="10" max="10" width="5.6640625" bestFit="1" customWidth="1"/>
    <col min="11" max="11" width="24.5" bestFit="1" customWidth="1"/>
  </cols>
  <sheetData>
    <row r="1" spans="2:10" ht="16" thickBot="1" x14ac:dyDescent="0.25"/>
    <row r="2" spans="2:10" ht="16" x14ac:dyDescent="0.2">
      <c r="B2" s="59" t="s">
        <v>16</v>
      </c>
      <c r="C2" s="60"/>
      <c r="D2" s="60"/>
      <c r="E2" s="60"/>
      <c r="F2" s="61"/>
      <c r="G2" s="62"/>
    </row>
    <row r="3" spans="2:10" ht="16" thickBot="1" x14ac:dyDescent="0.25">
      <c r="B3" s="50" t="s">
        <v>18</v>
      </c>
      <c r="C3" s="40" t="s">
        <v>10</v>
      </c>
      <c r="D3" s="41" t="s">
        <v>17</v>
      </c>
      <c r="E3" s="41" t="s">
        <v>4</v>
      </c>
      <c r="F3" s="42" t="s">
        <v>5</v>
      </c>
      <c r="G3" s="43" t="s">
        <v>0</v>
      </c>
      <c r="I3" s="34" t="s">
        <v>25</v>
      </c>
      <c r="J3" s="33" t="s">
        <v>11</v>
      </c>
    </row>
    <row r="4" spans="2:10" ht="36" x14ac:dyDescent="0.2">
      <c r="B4" s="63" t="s">
        <v>28</v>
      </c>
      <c r="C4" s="9" t="s">
        <v>14</v>
      </c>
      <c r="D4" s="10" t="s">
        <v>7</v>
      </c>
      <c r="E4" s="25">
        <v>2</v>
      </c>
      <c r="F4" s="3">
        <v>1</v>
      </c>
      <c r="G4" s="4">
        <f>SUM(E4*F4)</f>
        <v>2</v>
      </c>
      <c r="I4" s="31" t="s">
        <v>6</v>
      </c>
      <c r="J4" s="30">
        <v>6</v>
      </c>
    </row>
    <row r="5" spans="2:10" ht="48" x14ac:dyDescent="0.2">
      <c r="B5" s="64"/>
      <c r="C5" s="11" t="s">
        <v>24</v>
      </c>
      <c r="D5" s="12" t="s">
        <v>6</v>
      </c>
      <c r="E5" s="26">
        <v>4</v>
      </c>
      <c r="F5" s="1">
        <v>1</v>
      </c>
      <c r="G5" s="5">
        <f>SUM(E5*F5)</f>
        <v>4</v>
      </c>
      <c r="I5" s="31" t="s">
        <v>23</v>
      </c>
      <c r="J5" s="30">
        <v>2</v>
      </c>
    </row>
    <row r="6" spans="2:10" x14ac:dyDescent="0.2">
      <c r="B6" s="64"/>
      <c r="C6" s="11" t="s">
        <v>26</v>
      </c>
      <c r="D6" s="12" t="s">
        <v>23</v>
      </c>
      <c r="E6" s="26">
        <v>2</v>
      </c>
      <c r="F6" s="1">
        <v>1</v>
      </c>
      <c r="G6" s="5">
        <f t="shared" ref="G6:G9" si="0">SUM(E6*F6)</f>
        <v>2</v>
      </c>
      <c r="I6" s="31" t="s">
        <v>7</v>
      </c>
      <c r="J6" s="30">
        <v>10</v>
      </c>
    </row>
    <row r="7" spans="2:10" ht="36" x14ac:dyDescent="0.2">
      <c r="B7" s="64"/>
      <c r="C7" s="11" t="s">
        <v>21</v>
      </c>
      <c r="D7" s="13" t="s">
        <v>9</v>
      </c>
      <c r="E7" s="26">
        <v>4</v>
      </c>
      <c r="F7" s="1">
        <v>1</v>
      </c>
      <c r="G7" s="5">
        <f t="shared" si="0"/>
        <v>4</v>
      </c>
      <c r="I7" s="31" t="s">
        <v>12</v>
      </c>
      <c r="J7" s="30">
        <v>4</v>
      </c>
    </row>
    <row r="8" spans="2:10" x14ac:dyDescent="0.2">
      <c r="B8" s="64"/>
      <c r="C8" s="11" t="s">
        <v>15</v>
      </c>
      <c r="D8" s="13" t="s">
        <v>22</v>
      </c>
      <c r="E8" s="26">
        <v>0.5</v>
      </c>
      <c r="F8" s="1">
        <v>1</v>
      </c>
      <c r="G8" s="5">
        <f t="shared" si="0"/>
        <v>0.5</v>
      </c>
      <c r="I8" s="31" t="s">
        <v>22</v>
      </c>
      <c r="J8" s="30">
        <v>0.5</v>
      </c>
    </row>
    <row r="9" spans="2:10" ht="73" thickBot="1" x14ac:dyDescent="0.25">
      <c r="B9" s="65"/>
      <c r="C9" s="14" t="s">
        <v>27</v>
      </c>
      <c r="D9" s="15" t="s">
        <v>6</v>
      </c>
      <c r="E9" s="6">
        <v>2</v>
      </c>
      <c r="F9" s="27">
        <v>1</v>
      </c>
      <c r="G9" s="28">
        <f t="shared" si="0"/>
        <v>2</v>
      </c>
      <c r="I9" s="31" t="s">
        <v>2</v>
      </c>
      <c r="J9" s="30">
        <v>8</v>
      </c>
    </row>
    <row r="10" spans="2:10" ht="16" thickBot="1" x14ac:dyDescent="0.25">
      <c r="B10" s="35" t="s">
        <v>19</v>
      </c>
      <c r="C10" s="36"/>
      <c r="D10" s="36"/>
      <c r="E10" s="37"/>
      <c r="F10" s="38"/>
      <c r="G10" s="39"/>
      <c r="I10" s="31" t="s">
        <v>1</v>
      </c>
      <c r="J10" s="30">
        <v>24</v>
      </c>
    </row>
    <row r="11" spans="2:10" x14ac:dyDescent="0.2">
      <c r="B11" s="58" t="s">
        <v>29</v>
      </c>
      <c r="C11" s="9"/>
      <c r="D11" s="16" t="s">
        <v>7</v>
      </c>
      <c r="E11" s="7">
        <v>2</v>
      </c>
      <c r="F11" s="3">
        <v>4</v>
      </c>
      <c r="G11" s="4">
        <f>SUM(E11*F11)</f>
        <v>8</v>
      </c>
      <c r="I11" s="31" t="s">
        <v>8</v>
      </c>
      <c r="J11" s="30">
        <v>16</v>
      </c>
    </row>
    <row r="12" spans="2:10" x14ac:dyDescent="0.2">
      <c r="B12" s="52"/>
      <c r="C12" s="11"/>
      <c r="D12" s="18" t="s">
        <v>8</v>
      </c>
      <c r="E12" s="2">
        <v>2</v>
      </c>
      <c r="F12" s="1">
        <v>4</v>
      </c>
      <c r="G12" s="5">
        <f>SUM(E12*F12)</f>
        <v>8</v>
      </c>
      <c r="I12" s="31" t="s">
        <v>9</v>
      </c>
      <c r="J12" s="30">
        <v>4</v>
      </c>
    </row>
    <row r="13" spans="2:10" x14ac:dyDescent="0.2">
      <c r="B13" s="52"/>
      <c r="C13" s="11"/>
      <c r="D13" s="18" t="s">
        <v>1</v>
      </c>
      <c r="E13" s="2">
        <v>2</v>
      </c>
      <c r="F13" s="1">
        <v>4</v>
      </c>
      <c r="G13" s="5">
        <f t="shared" ref="G13:G14" si="1">SUM(E13*F13)</f>
        <v>8</v>
      </c>
      <c r="I13" s="33" t="s">
        <v>13</v>
      </c>
      <c r="J13" s="32">
        <v>74.5</v>
      </c>
    </row>
    <row r="14" spans="2:10" ht="16" thickBot="1" x14ac:dyDescent="0.25">
      <c r="B14" s="53"/>
      <c r="C14" s="14"/>
      <c r="D14" s="20" t="s">
        <v>8</v>
      </c>
      <c r="E14" s="8">
        <v>2</v>
      </c>
      <c r="F14" s="27">
        <v>4</v>
      </c>
      <c r="G14" s="28">
        <f t="shared" si="1"/>
        <v>8</v>
      </c>
    </row>
    <row r="15" spans="2:10" ht="16" thickBot="1" x14ac:dyDescent="0.25">
      <c r="B15" s="35" t="s">
        <v>20</v>
      </c>
      <c r="C15" s="36"/>
      <c r="D15" s="36"/>
      <c r="E15" s="37"/>
      <c r="F15" s="38"/>
      <c r="G15" s="39"/>
    </row>
    <row r="16" spans="2:10" ht="22" customHeight="1" x14ac:dyDescent="0.2">
      <c r="B16" s="51" t="s">
        <v>30</v>
      </c>
      <c r="C16" s="17"/>
      <c r="D16" s="24" t="s">
        <v>2</v>
      </c>
      <c r="E16" s="7">
        <v>2</v>
      </c>
      <c r="F16" s="3">
        <v>4</v>
      </c>
      <c r="G16" s="4">
        <f>SUM(E16*F16)</f>
        <v>8</v>
      </c>
    </row>
    <row r="17" spans="2:7" x14ac:dyDescent="0.2">
      <c r="B17" s="52"/>
      <c r="C17" s="19"/>
      <c r="D17" s="22" t="s">
        <v>1</v>
      </c>
      <c r="E17" s="29">
        <v>4</v>
      </c>
      <c r="F17" s="1">
        <v>4</v>
      </c>
      <c r="G17" s="5">
        <f t="shared" ref="G17:G18" si="2">SUM(E17*F17)</f>
        <v>16</v>
      </c>
    </row>
    <row r="18" spans="2:7" ht="16" thickBot="1" x14ac:dyDescent="0.25">
      <c r="B18" s="53"/>
      <c r="C18" s="21"/>
      <c r="D18" s="23" t="s">
        <v>12</v>
      </c>
      <c r="E18" s="8">
        <v>1</v>
      </c>
      <c r="F18" s="27">
        <v>4</v>
      </c>
      <c r="G18" s="28">
        <f t="shared" si="2"/>
        <v>4</v>
      </c>
    </row>
    <row r="19" spans="2:7" ht="16" thickBot="1" x14ac:dyDescent="0.25">
      <c r="B19" s="44" t="s">
        <v>11</v>
      </c>
      <c r="C19" s="45"/>
      <c r="D19" s="46"/>
      <c r="E19" s="47"/>
      <c r="F19" s="48"/>
      <c r="G19" s="49">
        <f>SUM(G4:G18)</f>
        <v>74.5</v>
      </c>
    </row>
    <row r="20" spans="2:7" ht="16" thickBot="1" x14ac:dyDescent="0.25">
      <c r="B20" s="54" t="s">
        <v>3</v>
      </c>
      <c r="C20" s="55"/>
      <c r="D20" s="55"/>
      <c r="E20" s="55"/>
      <c r="F20" s="56"/>
      <c r="G20" s="57"/>
    </row>
  </sheetData>
  <mergeCells count="5">
    <mergeCell ref="B16:B18"/>
    <mergeCell ref="B20:G20"/>
    <mergeCell ref="B11:B14"/>
    <mergeCell ref="B2:G2"/>
    <mergeCell ref="B4:B9"/>
  </mergeCells>
  <pageMargins left="0.7" right="0.7" top="0.75" bottom="0.75" header="0.3" footer="0.3"/>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2018-06-21T03:12:04Z</cp:lastPrinted>
  <dcterms:created xsi:type="dcterms:W3CDTF">2015-06-05T18:17:20Z</dcterms:created>
  <dcterms:modified xsi:type="dcterms:W3CDTF">2018-06-21T03:12:34Z</dcterms:modified>
</cp:coreProperties>
</file>