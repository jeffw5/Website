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autoCompressPictures="0" defaultThemeVersion="124226"/>
  <bookViews>
    <workbookView xWindow="0" yWindow="60" windowWidth="15360" windowHeight="8085" tabRatio="812" activeTab="1"/>
  </bookViews>
  <sheets>
    <sheet name="Description of Inputs" sheetId="42" r:id="rId1"/>
    <sheet name="IT Infrastructure" sheetId="62" r:id="rId2"/>
    <sheet name="Sheet1" sheetId="63" r:id="rId3"/>
    <sheet name="Sheet2" sheetId="64" r:id="rId4"/>
  </sheets>
  <definedNames>
    <definedName name="_xlnm._FilterDatabase" localSheetId="1" hidden="1">'IT Infrastructure'!$A$8:$T$369</definedName>
    <definedName name="_xlnm._FilterDatabase" localSheetId="2" hidden="1">Sheet1!$A$1:$X$221</definedName>
    <definedName name="_xlnm.Print_Area" localSheetId="1">'IT Infrastructure'!$A$1:$O$381</definedName>
  </definedNames>
  <calcPr calcId="145621" calcOnSave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2" i="62" l="1"/>
  <c r="G41" i="62"/>
  <c r="G40" i="62"/>
  <c r="G39" i="62"/>
  <c r="G38" i="62"/>
  <c r="G37" i="62"/>
  <c r="G36" i="62"/>
  <c r="G35" i="62"/>
  <c r="G34" i="62"/>
  <c r="G33" i="62"/>
  <c r="G32" i="62"/>
  <c r="G31" i="62"/>
  <c r="G30" i="62"/>
  <c r="G29" i="62"/>
  <c r="G28" i="62"/>
  <c r="G27" i="62"/>
  <c r="G26" i="62"/>
  <c r="G25" i="62"/>
  <c r="G24" i="62"/>
  <c r="G23" i="62"/>
  <c r="G22" i="62"/>
  <c r="G21" i="62"/>
  <c r="G20" i="62"/>
  <c r="G19" i="62"/>
  <c r="G18" i="62"/>
  <c r="G17" i="62"/>
  <c r="G16" i="62"/>
  <c r="G15" i="62"/>
  <c r="G14" i="62"/>
  <c r="G13" i="62"/>
  <c r="G12" i="62"/>
  <c r="G11" i="62"/>
  <c r="G10" i="62"/>
  <c r="G9" i="62"/>
  <c r="G117" i="62"/>
  <c r="H117" i="62"/>
  <c r="L7" i="62"/>
  <c r="M117" i="62"/>
  <c r="L117" i="62"/>
  <c r="K117" i="62"/>
  <c r="G87" i="62"/>
  <c r="H87" i="62"/>
  <c r="M87" i="62"/>
  <c r="L87" i="62"/>
  <c r="K87" i="62"/>
  <c r="G97" i="62"/>
  <c r="H97" i="62"/>
  <c r="M97" i="62"/>
  <c r="L97" i="62"/>
  <c r="K97" i="62"/>
  <c r="G96" i="62"/>
  <c r="H96" i="62"/>
  <c r="M96" i="62"/>
  <c r="L96" i="62"/>
  <c r="K96" i="62"/>
  <c r="G95" i="62"/>
  <c r="H95" i="62"/>
  <c r="M95" i="62"/>
  <c r="L95" i="62"/>
  <c r="K95" i="62"/>
  <c r="G94" i="62"/>
  <c r="H94" i="62"/>
  <c r="M94" i="62"/>
  <c r="L94" i="62"/>
  <c r="K94" i="62"/>
  <c r="G93" i="62"/>
  <c r="H93" i="62"/>
  <c r="M93" i="62"/>
  <c r="L93" i="62"/>
  <c r="K93" i="62"/>
  <c r="G92" i="62"/>
  <c r="H92" i="62"/>
  <c r="M92" i="62"/>
  <c r="L92" i="62"/>
  <c r="K92" i="62"/>
  <c r="G91" i="62"/>
  <c r="H91" i="62"/>
  <c r="M91" i="62"/>
  <c r="L91" i="62"/>
  <c r="K91" i="62"/>
  <c r="G90" i="62"/>
  <c r="H90" i="62"/>
  <c r="M90" i="62"/>
  <c r="L90" i="62"/>
  <c r="K90" i="62"/>
  <c r="G187" i="62"/>
  <c r="H187" i="62"/>
  <c r="M187" i="62"/>
  <c r="L187" i="62"/>
  <c r="K187" i="62"/>
  <c r="G66" i="62"/>
  <c r="H66" i="62"/>
  <c r="K66" i="62"/>
  <c r="G265" i="62"/>
  <c r="H265" i="62"/>
  <c r="K265" i="62"/>
  <c r="G385" i="62"/>
  <c r="H385" i="62"/>
  <c r="M385" i="62"/>
  <c r="L385" i="62"/>
  <c r="K385" i="62"/>
  <c r="G384" i="62"/>
  <c r="H384" i="62"/>
  <c r="M384" i="62"/>
  <c r="L384" i="62"/>
  <c r="K384" i="62"/>
  <c r="G383" i="62"/>
  <c r="H383" i="62"/>
  <c r="M383" i="62"/>
  <c r="L383" i="62"/>
  <c r="K383" i="62"/>
  <c r="G382" i="62"/>
  <c r="H382" i="62"/>
  <c r="M382" i="62"/>
  <c r="L382" i="62"/>
  <c r="K382" i="62"/>
  <c r="G372" i="62"/>
  <c r="H372" i="62"/>
  <c r="M372" i="62"/>
  <c r="L372" i="62"/>
  <c r="K372" i="62"/>
  <c r="G210" i="62"/>
  <c r="H210" i="62"/>
  <c r="M210" i="62"/>
  <c r="L210" i="62"/>
  <c r="K210" i="62"/>
  <c r="G373" i="62"/>
  <c r="H373" i="62"/>
  <c r="M373" i="62"/>
  <c r="L373" i="62"/>
  <c r="K373" i="62"/>
  <c r="G282" i="62"/>
  <c r="H282" i="62"/>
  <c r="M282" i="62"/>
  <c r="L282" i="62"/>
  <c r="K282" i="62"/>
  <c r="G276" i="62"/>
  <c r="H276" i="62"/>
  <c r="M276" i="62"/>
  <c r="L276" i="62"/>
  <c r="K276" i="62"/>
  <c r="G180" i="62"/>
  <c r="H180" i="62"/>
  <c r="M180" i="62"/>
  <c r="L180" i="62"/>
  <c r="K180" i="62"/>
  <c r="G272" i="62"/>
  <c r="H272" i="62"/>
  <c r="M272" i="62"/>
  <c r="L272" i="62"/>
  <c r="K272" i="62"/>
  <c r="G275" i="62"/>
  <c r="H275" i="62"/>
  <c r="M275" i="62"/>
  <c r="L275" i="62"/>
  <c r="K275" i="62"/>
  <c r="G274" i="62"/>
  <c r="H274" i="62"/>
  <c r="M274" i="62"/>
  <c r="L274" i="62"/>
  <c r="K274" i="62"/>
  <c r="G273" i="62"/>
  <c r="H273" i="62"/>
  <c r="M273" i="62"/>
  <c r="L273" i="62"/>
  <c r="K273" i="62"/>
  <c r="G179" i="62"/>
  <c r="H179" i="62"/>
  <c r="M179" i="62"/>
  <c r="L179" i="62"/>
  <c r="K179" i="62"/>
  <c r="G178" i="62"/>
  <c r="H178" i="62"/>
  <c r="M178" i="62"/>
  <c r="L178" i="62"/>
  <c r="K178" i="62"/>
  <c r="G194" i="62"/>
  <c r="H194" i="62"/>
  <c r="M194" i="62"/>
  <c r="L194" i="62"/>
  <c r="K194" i="62"/>
  <c r="G190" i="62"/>
  <c r="H190" i="62"/>
  <c r="M190" i="62"/>
  <c r="L190" i="62"/>
  <c r="K190" i="62"/>
  <c r="G189" i="62"/>
  <c r="H189" i="62"/>
  <c r="M189" i="62"/>
  <c r="L189" i="62"/>
  <c r="K189" i="62"/>
  <c r="G188" i="62"/>
  <c r="H188" i="62"/>
  <c r="M188" i="62"/>
  <c r="L188" i="62"/>
  <c r="K188" i="62"/>
  <c r="G186" i="62"/>
  <c r="H186" i="62"/>
  <c r="M186" i="62"/>
  <c r="L186" i="62"/>
  <c r="K186" i="62"/>
  <c r="G195" i="62"/>
  <c r="H195" i="62"/>
  <c r="M195" i="62"/>
  <c r="L195" i="62"/>
  <c r="K195" i="62"/>
  <c r="G193" i="62"/>
  <c r="H193" i="62"/>
  <c r="M193" i="62"/>
  <c r="L193" i="62"/>
  <c r="K193" i="62"/>
  <c r="G192" i="62"/>
  <c r="H192" i="62"/>
  <c r="M192" i="62"/>
  <c r="L192" i="62"/>
  <c r="K192" i="62"/>
  <c r="G191" i="62"/>
  <c r="H191" i="62"/>
  <c r="M191" i="62"/>
  <c r="L191" i="62"/>
  <c r="K191" i="62"/>
  <c r="G182" i="62"/>
  <c r="H182" i="62"/>
  <c r="M182" i="62"/>
  <c r="L182" i="62"/>
  <c r="K182" i="62"/>
  <c r="G183" i="62"/>
  <c r="H183" i="62"/>
  <c r="M183" i="62"/>
  <c r="L183" i="62"/>
  <c r="K183" i="62"/>
  <c r="G184" i="62"/>
  <c r="H184" i="62"/>
  <c r="M184" i="62"/>
  <c r="L184" i="62"/>
  <c r="K184" i="62"/>
  <c r="G185" i="62"/>
  <c r="H185" i="62"/>
  <c r="M185" i="62"/>
  <c r="L185" i="62"/>
  <c r="K185" i="62"/>
  <c r="G181" i="62"/>
  <c r="H181" i="62"/>
  <c r="M181" i="62"/>
  <c r="L181" i="62"/>
  <c r="K181" i="62"/>
  <c r="G224" i="62"/>
  <c r="H224" i="62"/>
  <c r="M224" i="62"/>
  <c r="L224" i="62"/>
  <c r="K224" i="62"/>
  <c r="G225" i="62"/>
  <c r="H225" i="62"/>
  <c r="M225" i="62"/>
  <c r="L225" i="62"/>
  <c r="K225" i="62"/>
  <c r="G226" i="62"/>
  <c r="H226" i="62"/>
  <c r="M226" i="62"/>
  <c r="L226" i="62"/>
  <c r="K226" i="62"/>
  <c r="G271" i="62"/>
  <c r="H271" i="62"/>
  <c r="M271" i="62"/>
  <c r="L271" i="62"/>
  <c r="K271" i="62"/>
  <c r="G270" i="62"/>
  <c r="H270" i="62"/>
  <c r="M270" i="62"/>
  <c r="L270" i="62"/>
  <c r="K270" i="62"/>
  <c r="G269" i="62"/>
  <c r="H269" i="62"/>
  <c r="M269" i="62"/>
  <c r="L269" i="62"/>
  <c r="K269" i="62"/>
  <c r="G268" i="62"/>
  <c r="H268" i="62"/>
  <c r="M268" i="62"/>
  <c r="L268" i="62"/>
  <c r="K268" i="62"/>
  <c r="G267" i="62"/>
  <c r="H267" i="62"/>
  <c r="M267" i="62"/>
  <c r="L267" i="62"/>
  <c r="K267" i="62"/>
  <c r="G266" i="62"/>
  <c r="H266" i="62"/>
  <c r="M266" i="62"/>
  <c r="L266" i="62"/>
  <c r="K266" i="62"/>
  <c r="M265" i="62"/>
  <c r="L265" i="62"/>
  <c r="G264" i="62"/>
  <c r="H264" i="62"/>
  <c r="M264" i="62"/>
  <c r="L264" i="62"/>
  <c r="K264" i="62"/>
  <c r="G263" i="62"/>
  <c r="H263" i="62"/>
  <c r="M263" i="62"/>
  <c r="L263" i="62"/>
  <c r="K263" i="62"/>
  <c r="G262" i="62"/>
  <c r="H262" i="62"/>
  <c r="M262" i="62"/>
  <c r="L262" i="62"/>
  <c r="K262" i="62"/>
  <c r="G261" i="62"/>
  <c r="H261" i="62"/>
  <c r="M261" i="62"/>
  <c r="L261" i="62"/>
  <c r="K261" i="62"/>
  <c r="G260" i="62"/>
  <c r="H260" i="62"/>
  <c r="M260" i="62"/>
  <c r="L260" i="62"/>
  <c r="K260" i="62"/>
  <c r="G259" i="62"/>
  <c r="H259" i="62"/>
  <c r="M259" i="62"/>
  <c r="L259" i="62"/>
  <c r="K259" i="62"/>
  <c r="G258" i="62"/>
  <c r="H258" i="62"/>
  <c r="M258" i="62"/>
  <c r="L258" i="62"/>
  <c r="K258" i="62"/>
  <c r="G257" i="62"/>
  <c r="H257" i="62"/>
  <c r="M257" i="62"/>
  <c r="L257" i="62"/>
  <c r="K257" i="62"/>
  <c r="G256" i="62"/>
  <c r="H256" i="62"/>
  <c r="M256" i="62"/>
  <c r="L256" i="62"/>
  <c r="K256" i="62"/>
  <c r="G255" i="62"/>
  <c r="H255" i="62"/>
  <c r="M255" i="62"/>
  <c r="L255" i="62"/>
  <c r="K255" i="62"/>
  <c r="G254" i="62"/>
  <c r="H254" i="62"/>
  <c r="M254" i="62"/>
  <c r="L254" i="62"/>
  <c r="K254" i="62"/>
  <c r="G253" i="62"/>
  <c r="H253" i="62"/>
  <c r="M253" i="62"/>
  <c r="L253" i="62"/>
  <c r="K253" i="62"/>
  <c r="G252" i="62"/>
  <c r="H252" i="62"/>
  <c r="M252" i="62"/>
  <c r="L252" i="62"/>
  <c r="K252" i="62"/>
  <c r="G251" i="62"/>
  <c r="H251" i="62"/>
  <c r="M251" i="62"/>
  <c r="L251" i="62"/>
  <c r="K251" i="62"/>
  <c r="G250" i="62"/>
  <c r="H250" i="62"/>
  <c r="M250" i="62"/>
  <c r="L250" i="62"/>
  <c r="K250" i="62"/>
  <c r="G249" i="62"/>
  <c r="H249" i="62"/>
  <c r="M249" i="62"/>
  <c r="L249" i="62"/>
  <c r="K249" i="62"/>
  <c r="G170" i="62"/>
  <c r="H170" i="62"/>
  <c r="M170" i="62"/>
  <c r="L170" i="62"/>
  <c r="K170" i="62"/>
  <c r="G169" i="62"/>
  <c r="H169" i="62"/>
  <c r="M169" i="62"/>
  <c r="L169" i="62"/>
  <c r="K169" i="62"/>
  <c r="G168" i="62"/>
  <c r="H168" i="62"/>
  <c r="M168" i="62"/>
  <c r="L168" i="62"/>
  <c r="K168" i="62"/>
  <c r="G167" i="62"/>
  <c r="H167" i="62"/>
  <c r="M167" i="62"/>
  <c r="L167" i="62"/>
  <c r="K167" i="62"/>
  <c r="G166" i="62"/>
  <c r="H166" i="62"/>
  <c r="M166" i="62"/>
  <c r="L166" i="62"/>
  <c r="K166" i="62"/>
  <c r="G165" i="62"/>
  <c r="H165" i="62"/>
  <c r="M165" i="62"/>
  <c r="L165" i="62"/>
  <c r="K165" i="62"/>
  <c r="G164" i="62"/>
  <c r="H164" i="62"/>
  <c r="M164" i="62"/>
  <c r="L164" i="62"/>
  <c r="K164" i="62"/>
  <c r="G163" i="62"/>
  <c r="H163" i="62"/>
  <c r="M163" i="62"/>
  <c r="L163" i="62"/>
  <c r="K163" i="62"/>
  <c r="G162" i="62"/>
  <c r="H162" i="62"/>
  <c r="M162" i="62"/>
  <c r="L162" i="62"/>
  <c r="K162" i="62"/>
  <c r="G161" i="62"/>
  <c r="H161" i="62"/>
  <c r="M161" i="62"/>
  <c r="L161" i="62"/>
  <c r="K161" i="62"/>
  <c r="G160" i="62"/>
  <c r="H160" i="62"/>
  <c r="M160" i="62"/>
  <c r="L160" i="62"/>
  <c r="K160" i="62"/>
  <c r="G209" i="62"/>
  <c r="H209" i="62"/>
  <c r="M209" i="62"/>
  <c r="L209" i="62"/>
  <c r="K209" i="62"/>
  <c r="G370" i="62"/>
  <c r="H370" i="62"/>
  <c r="M370" i="62"/>
  <c r="L370" i="62"/>
  <c r="K370" i="62"/>
  <c r="G69" i="62"/>
  <c r="H69" i="62"/>
  <c r="K69" i="62"/>
  <c r="G361" i="62"/>
  <c r="H361" i="62"/>
  <c r="M361" i="62"/>
  <c r="L361" i="62"/>
  <c r="K361" i="62"/>
  <c r="G360" i="62"/>
  <c r="H360" i="62"/>
  <c r="M360" i="62"/>
  <c r="L360" i="62"/>
  <c r="K360" i="62"/>
  <c r="G359" i="62"/>
  <c r="H359" i="62"/>
  <c r="M359" i="62"/>
  <c r="L359" i="62"/>
  <c r="K359" i="62"/>
  <c r="G358" i="62"/>
  <c r="H358" i="62"/>
  <c r="M358" i="62"/>
  <c r="L358" i="62"/>
  <c r="K358" i="62"/>
  <c r="G357" i="62"/>
  <c r="H357" i="62"/>
  <c r="M357" i="62"/>
  <c r="L357" i="62"/>
  <c r="K357" i="62"/>
  <c r="G356" i="62"/>
  <c r="H356" i="62"/>
  <c r="M356" i="62"/>
  <c r="L356" i="62"/>
  <c r="K356" i="62"/>
  <c r="G355" i="62"/>
  <c r="H355" i="62"/>
  <c r="M355" i="62"/>
  <c r="L355" i="62"/>
  <c r="K355" i="62"/>
  <c r="G354" i="62"/>
  <c r="H354" i="62"/>
  <c r="M354" i="62"/>
  <c r="L354" i="62"/>
  <c r="K354" i="62"/>
  <c r="G344" i="62"/>
  <c r="H344" i="62"/>
  <c r="M344" i="62"/>
  <c r="L344" i="62"/>
  <c r="K344" i="62"/>
  <c r="G343" i="62"/>
  <c r="H343" i="62"/>
  <c r="M343" i="62"/>
  <c r="L343" i="62"/>
  <c r="K343" i="62"/>
  <c r="G342" i="62"/>
  <c r="H342" i="62"/>
  <c r="M342" i="62"/>
  <c r="L342" i="62"/>
  <c r="K342" i="62"/>
  <c r="G341" i="62"/>
  <c r="H341" i="62"/>
  <c r="M341" i="62"/>
  <c r="L341" i="62"/>
  <c r="K341" i="62"/>
  <c r="G340" i="62"/>
  <c r="H340" i="62"/>
  <c r="M340" i="62"/>
  <c r="L340" i="62"/>
  <c r="K340" i="62"/>
  <c r="G339" i="62"/>
  <c r="H339" i="62"/>
  <c r="M339" i="62"/>
  <c r="L339" i="62"/>
  <c r="K339" i="62"/>
  <c r="G338" i="62"/>
  <c r="H338" i="62"/>
  <c r="M338" i="62"/>
  <c r="L338" i="62"/>
  <c r="K338" i="62"/>
  <c r="G337" i="62"/>
  <c r="H337" i="62"/>
  <c r="M337" i="62"/>
  <c r="L337" i="62"/>
  <c r="K337" i="62"/>
  <c r="G50" i="62"/>
  <c r="H50" i="62"/>
  <c r="K50" i="62"/>
  <c r="G369" i="62"/>
  <c r="H369" i="62"/>
  <c r="M369" i="62"/>
  <c r="L369" i="62"/>
  <c r="K369" i="62"/>
  <c r="G368" i="62"/>
  <c r="H368" i="62"/>
  <c r="M368" i="62"/>
  <c r="L368" i="62"/>
  <c r="K368" i="62"/>
  <c r="G367" i="62"/>
  <c r="H367" i="62"/>
  <c r="M367" i="62"/>
  <c r="L367" i="62"/>
  <c r="K367" i="62"/>
  <c r="G366" i="62"/>
  <c r="H366" i="62"/>
  <c r="M366" i="62"/>
  <c r="L366" i="62"/>
  <c r="K366" i="62"/>
  <c r="G365" i="62"/>
  <c r="H365" i="62"/>
  <c r="M365" i="62"/>
  <c r="L365" i="62"/>
  <c r="K365" i="62"/>
  <c r="G364" i="62"/>
  <c r="H364" i="62"/>
  <c r="M364" i="62"/>
  <c r="L364" i="62"/>
  <c r="K364" i="62"/>
  <c r="G363" i="62"/>
  <c r="H363" i="62"/>
  <c r="M363" i="62"/>
  <c r="L363" i="62"/>
  <c r="K363" i="62"/>
  <c r="G362" i="62"/>
  <c r="H362" i="62"/>
  <c r="M362" i="62"/>
  <c r="L362" i="62"/>
  <c r="K362" i="62"/>
  <c r="G336" i="62"/>
  <c r="H336" i="62"/>
  <c r="M336" i="62"/>
  <c r="L336" i="62"/>
  <c r="K336" i="62"/>
  <c r="G335" i="62"/>
  <c r="H335" i="62"/>
  <c r="M335" i="62"/>
  <c r="L335" i="62"/>
  <c r="K335" i="62"/>
  <c r="G334" i="62"/>
  <c r="H334" i="62"/>
  <c r="M334" i="62"/>
  <c r="L334" i="62"/>
  <c r="K334" i="62"/>
  <c r="G333" i="62"/>
  <c r="H333" i="62"/>
  <c r="M333" i="62"/>
  <c r="L333" i="62"/>
  <c r="K333" i="62"/>
  <c r="G332" i="62"/>
  <c r="H332" i="62"/>
  <c r="M332" i="62"/>
  <c r="L332" i="62"/>
  <c r="K332" i="62"/>
  <c r="G331" i="62"/>
  <c r="H331" i="62"/>
  <c r="M331" i="62"/>
  <c r="L331" i="62"/>
  <c r="K331" i="62"/>
  <c r="G330" i="62"/>
  <c r="H330" i="62"/>
  <c r="M330" i="62"/>
  <c r="L330" i="62"/>
  <c r="K330" i="62"/>
  <c r="G329" i="62"/>
  <c r="H329" i="62"/>
  <c r="M329" i="62"/>
  <c r="L329" i="62"/>
  <c r="K329" i="62"/>
  <c r="G345" i="62"/>
  <c r="H345" i="62"/>
  <c r="M345" i="62"/>
  <c r="L345" i="62"/>
  <c r="K345" i="62"/>
  <c r="G352" i="62"/>
  <c r="H352" i="62"/>
  <c r="M352" i="62"/>
  <c r="L352" i="62"/>
  <c r="K352" i="62"/>
  <c r="G351" i="62"/>
  <c r="H351" i="62"/>
  <c r="M351" i="62"/>
  <c r="L351" i="62"/>
  <c r="K351" i="62"/>
  <c r="G350" i="62"/>
  <c r="H350" i="62"/>
  <c r="M350" i="62"/>
  <c r="L350" i="62"/>
  <c r="K350" i="62"/>
  <c r="G349" i="62"/>
  <c r="H349" i="62"/>
  <c r="M349" i="62"/>
  <c r="L349" i="62"/>
  <c r="K349" i="62"/>
  <c r="G348" i="62"/>
  <c r="H348" i="62"/>
  <c r="M348" i="62"/>
  <c r="L348" i="62"/>
  <c r="K348" i="62"/>
  <c r="G347" i="62"/>
  <c r="H347" i="62"/>
  <c r="M347" i="62"/>
  <c r="L347" i="62"/>
  <c r="K347" i="62"/>
  <c r="G346" i="62"/>
  <c r="H346" i="62"/>
  <c r="M346" i="62"/>
  <c r="L346" i="62"/>
  <c r="K346" i="62"/>
  <c r="G52" i="62"/>
  <c r="H52" i="62"/>
  <c r="K52" i="62"/>
  <c r="G353" i="62"/>
  <c r="H353" i="62"/>
  <c r="M353" i="62"/>
  <c r="L353" i="62"/>
  <c r="K353" i="62"/>
  <c r="G290" i="62"/>
  <c r="G289" i="62"/>
  <c r="G288" i="62"/>
  <c r="G287" i="62"/>
  <c r="G286" i="62"/>
  <c r="G285" i="62"/>
  <c r="G284" i="62"/>
  <c r="G283" i="62"/>
  <c r="G291" i="62"/>
  <c r="H291" i="62"/>
  <c r="M291" i="62"/>
  <c r="L291" i="62"/>
  <c r="K291" i="62"/>
  <c r="H290" i="62"/>
  <c r="M290" i="62"/>
  <c r="L290" i="62"/>
  <c r="K290" i="62"/>
  <c r="H289" i="62"/>
  <c r="M289" i="62"/>
  <c r="L289" i="62"/>
  <c r="K289" i="62"/>
  <c r="H288" i="62"/>
  <c r="M288" i="62"/>
  <c r="L288" i="62"/>
  <c r="K288" i="62"/>
  <c r="H287" i="62"/>
  <c r="M287" i="62"/>
  <c r="L287" i="62"/>
  <c r="K287" i="62"/>
  <c r="H286" i="62"/>
  <c r="M286" i="62"/>
  <c r="L286" i="62"/>
  <c r="K286" i="62"/>
  <c r="H285" i="62"/>
  <c r="M285" i="62"/>
  <c r="L285" i="62"/>
  <c r="K285" i="62"/>
  <c r="H284" i="62"/>
  <c r="M284" i="62"/>
  <c r="L284" i="62"/>
  <c r="K284" i="62"/>
  <c r="H283" i="62"/>
  <c r="M283" i="62"/>
  <c r="L283" i="62"/>
  <c r="K283" i="62"/>
  <c r="G277" i="62"/>
  <c r="H277" i="62"/>
  <c r="M277" i="62"/>
  <c r="L277" i="62"/>
  <c r="K277" i="62"/>
  <c r="G159" i="62"/>
  <c r="H159" i="62"/>
  <c r="M159" i="62"/>
  <c r="L159" i="62"/>
  <c r="K159" i="62"/>
  <c r="M79" i="62"/>
  <c r="L79" i="62"/>
  <c r="K79" i="62"/>
  <c r="M78" i="62"/>
  <c r="L78" i="62"/>
  <c r="K78" i="62"/>
  <c r="M76" i="62"/>
  <c r="L76" i="62"/>
  <c r="K76" i="62"/>
  <c r="M77" i="62"/>
  <c r="L77" i="62"/>
  <c r="K77" i="62"/>
  <c r="M75" i="62"/>
  <c r="L75" i="62"/>
  <c r="K75" i="62"/>
  <c r="M74" i="62"/>
  <c r="L74" i="62"/>
  <c r="K74" i="62"/>
  <c r="M73" i="62"/>
  <c r="L73" i="62"/>
  <c r="K73" i="62"/>
  <c r="M72" i="62"/>
  <c r="L72" i="62"/>
  <c r="K72" i="62"/>
  <c r="M71" i="62"/>
  <c r="L71" i="62"/>
  <c r="K71" i="62"/>
  <c r="L69" i="62"/>
  <c r="M69" i="62"/>
  <c r="G70" i="62"/>
  <c r="G68" i="62"/>
  <c r="G67" i="62"/>
  <c r="H70" i="62"/>
  <c r="M70" i="62"/>
  <c r="L70" i="62"/>
  <c r="K70" i="62"/>
  <c r="H68" i="62"/>
  <c r="M68" i="62"/>
  <c r="L68" i="62"/>
  <c r="K68" i="62"/>
  <c r="H67" i="62"/>
  <c r="M67" i="62"/>
  <c r="L67" i="62"/>
  <c r="K67" i="62"/>
  <c r="M66" i="62"/>
  <c r="L66" i="62"/>
  <c r="G328" i="62"/>
  <c r="H328" i="62"/>
  <c r="M328" i="62"/>
  <c r="L328" i="62"/>
  <c r="K328" i="62"/>
  <c r="G327" i="62"/>
  <c r="H327" i="62"/>
  <c r="M327" i="62"/>
  <c r="L327" i="62"/>
  <c r="K327" i="62"/>
  <c r="G326" i="62"/>
  <c r="H326" i="62"/>
  <c r="M326" i="62"/>
  <c r="L326" i="62"/>
  <c r="K326" i="62"/>
  <c r="G325" i="62"/>
  <c r="H325" i="62"/>
  <c r="M325" i="62"/>
  <c r="L325" i="62"/>
  <c r="K325" i="62"/>
  <c r="G324" i="62"/>
  <c r="H324" i="62"/>
  <c r="M324" i="62"/>
  <c r="L324" i="62"/>
  <c r="K324" i="62"/>
  <c r="G323" i="62"/>
  <c r="H323" i="62"/>
  <c r="M323" i="62"/>
  <c r="L323" i="62"/>
  <c r="K323" i="62"/>
  <c r="G322" i="62"/>
  <c r="H322" i="62"/>
  <c r="M322" i="62"/>
  <c r="L322" i="62"/>
  <c r="K322" i="62"/>
  <c r="G321" i="62"/>
  <c r="H321" i="62"/>
  <c r="M321" i="62"/>
  <c r="L321" i="62"/>
  <c r="K321" i="62"/>
  <c r="G320" i="62"/>
  <c r="H320" i="62"/>
  <c r="M320" i="62"/>
  <c r="L320" i="62"/>
  <c r="K320" i="62"/>
  <c r="G319" i="62"/>
  <c r="H319" i="62"/>
  <c r="M319" i="62"/>
  <c r="L319" i="62"/>
  <c r="K319" i="62"/>
  <c r="G304" i="62"/>
  <c r="H304" i="62"/>
  <c r="M304" i="62"/>
  <c r="L304" i="62"/>
  <c r="K304" i="62"/>
  <c r="G303" i="62"/>
  <c r="H303" i="62"/>
  <c r="M303" i="62"/>
  <c r="L303" i="62"/>
  <c r="K303" i="62"/>
  <c r="G302" i="62"/>
  <c r="H302" i="62"/>
  <c r="M302" i="62"/>
  <c r="L302" i="62"/>
  <c r="K302" i="62"/>
  <c r="G301" i="62"/>
  <c r="H301" i="62"/>
  <c r="M301" i="62"/>
  <c r="L301" i="62"/>
  <c r="K301" i="62"/>
  <c r="G300" i="62"/>
  <c r="H300" i="62"/>
  <c r="M300" i="62"/>
  <c r="L300" i="62"/>
  <c r="K300" i="62"/>
  <c r="G299" i="62"/>
  <c r="H299" i="62"/>
  <c r="M299" i="62"/>
  <c r="L299" i="62"/>
  <c r="K299" i="62"/>
  <c r="G298" i="62"/>
  <c r="H298" i="62"/>
  <c r="M298" i="62"/>
  <c r="L298" i="62"/>
  <c r="K298" i="62"/>
  <c r="G297" i="62"/>
  <c r="H297" i="62"/>
  <c r="M297" i="62"/>
  <c r="L297" i="62"/>
  <c r="K297" i="62"/>
  <c r="G296" i="62"/>
  <c r="H296" i="62"/>
  <c r="M296" i="62"/>
  <c r="L296" i="62"/>
  <c r="K296" i="62"/>
  <c r="G295" i="62"/>
  <c r="H295" i="62"/>
  <c r="M295" i="62"/>
  <c r="L295" i="62"/>
  <c r="K295" i="62"/>
  <c r="G294" i="62"/>
  <c r="H294" i="62"/>
  <c r="M294" i="62"/>
  <c r="L294" i="62"/>
  <c r="K294" i="62"/>
  <c r="G293" i="62"/>
  <c r="H293" i="62"/>
  <c r="M293" i="62"/>
  <c r="L293" i="62"/>
  <c r="K293" i="62"/>
  <c r="G292" i="62"/>
  <c r="H292" i="62"/>
  <c r="M292" i="62"/>
  <c r="L292" i="62"/>
  <c r="K292" i="62"/>
  <c r="G248" i="62"/>
  <c r="H248" i="62"/>
  <c r="M248" i="62"/>
  <c r="L248" i="62"/>
  <c r="K248" i="62"/>
  <c r="G247" i="62"/>
  <c r="H247" i="62"/>
  <c r="M247" i="62"/>
  <c r="L247" i="62"/>
  <c r="K247" i="62"/>
  <c r="G246" i="62"/>
  <c r="H246" i="62"/>
  <c r="M246" i="62"/>
  <c r="L246" i="62"/>
  <c r="K246" i="62"/>
  <c r="G245" i="62"/>
  <c r="H245" i="62"/>
  <c r="M245" i="62"/>
  <c r="L245" i="62"/>
  <c r="K245" i="62"/>
  <c r="G244" i="62"/>
  <c r="H244" i="62"/>
  <c r="M244" i="62"/>
  <c r="L244" i="62"/>
  <c r="K244" i="62"/>
  <c r="G243" i="62"/>
  <c r="H243" i="62"/>
  <c r="M243" i="62"/>
  <c r="L243" i="62"/>
  <c r="K243" i="62"/>
  <c r="G242" i="62"/>
  <c r="H242" i="62"/>
  <c r="M242" i="62"/>
  <c r="L242" i="62"/>
  <c r="K242" i="62"/>
  <c r="G241" i="62"/>
  <c r="H241" i="62"/>
  <c r="M241" i="62"/>
  <c r="L241" i="62"/>
  <c r="K241" i="62"/>
  <c r="G240" i="62"/>
  <c r="H240" i="62"/>
  <c r="M240" i="62"/>
  <c r="L240" i="62"/>
  <c r="K240" i="62"/>
  <c r="G239" i="62"/>
  <c r="H239" i="62"/>
  <c r="M239" i="62"/>
  <c r="L239" i="62"/>
  <c r="K239" i="62"/>
  <c r="G238" i="62"/>
  <c r="H238" i="62"/>
  <c r="M238" i="62"/>
  <c r="L238" i="62"/>
  <c r="K238" i="62"/>
  <c r="G237" i="62"/>
  <c r="H237" i="62"/>
  <c r="M237" i="62"/>
  <c r="L237" i="62"/>
  <c r="K237" i="62"/>
  <c r="G236" i="62"/>
  <c r="H236" i="62"/>
  <c r="M236" i="62"/>
  <c r="L236" i="62"/>
  <c r="K236" i="62"/>
  <c r="G235" i="62"/>
  <c r="H235" i="62"/>
  <c r="M235" i="62"/>
  <c r="L235" i="62"/>
  <c r="K235" i="62"/>
  <c r="G234" i="62"/>
  <c r="H234" i="62"/>
  <c r="M234" i="62"/>
  <c r="L234" i="62"/>
  <c r="K234" i="62"/>
  <c r="G233" i="62"/>
  <c r="H233" i="62"/>
  <c r="M233" i="62"/>
  <c r="L233" i="62"/>
  <c r="K233" i="62"/>
  <c r="G232" i="62"/>
  <c r="H232" i="62"/>
  <c r="M232" i="62"/>
  <c r="L232" i="62"/>
  <c r="K232" i="62"/>
  <c r="G231" i="62"/>
  <c r="H231" i="62"/>
  <c r="M231" i="62"/>
  <c r="L231" i="62"/>
  <c r="K231" i="62"/>
  <c r="G230" i="62"/>
  <c r="H230" i="62"/>
  <c r="M230" i="62"/>
  <c r="L230" i="62"/>
  <c r="K230" i="62"/>
  <c r="G229" i="62"/>
  <c r="H229" i="62"/>
  <c r="M229" i="62"/>
  <c r="L229" i="62"/>
  <c r="K229" i="62"/>
  <c r="G228" i="62"/>
  <c r="H228" i="62"/>
  <c r="M228" i="62"/>
  <c r="L228" i="62"/>
  <c r="K228" i="62"/>
  <c r="G227" i="62"/>
  <c r="H227" i="62"/>
  <c r="M227" i="62"/>
  <c r="L227" i="62"/>
  <c r="K227" i="62"/>
  <c r="G223" i="62"/>
  <c r="H223" i="62"/>
  <c r="M223" i="62"/>
  <c r="L223" i="62"/>
  <c r="K223" i="62"/>
  <c r="G222" i="62"/>
  <c r="H222" i="62"/>
  <c r="M222" i="62"/>
  <c r="L222" i="62"/>
  <c r="K222" i="62"/>
  <c r="G221" i="62"/>
  <c r="H221" i="62"/>
  <c r="M221" i="62"/>
  <c r="L221" i="62"/>
  <c r="K221" i="62"/>
  <c r="G220" i="62"/>
  <c r="H220" i="62"/>
  <c r="M220" i="62"/>
  <c r="L220" i="62"/>
  <c r="K220" i="62"/>
  <c r="G219" i="62"/>
  <c r="H219" i="62"/>
  <c r="M219" i="62"/>
  <c r="L219" i="62"/>
  <c r="K219" i="62"/>
  <c r="G218" i="62"/>
  <c r="H218" i="62"/>
  <c r="M218" i="62"/>
  <c r="L218" i="62"/>
  <c r="K218" i="62"/>
  <c r="G217" i="62"/>
  <c r="H217" i="62"/>
  <c r="M217" i="62"/>
  <c r="L217" i="62"/>
  <c r="K217" i="62"/>
  <c r="G216" i="62"/>
  <c r="H216" i="62"/>
  <c r="M216" i="62"/>
  <c r="L216" i="62"/>
  <c r="K216" i="62"/>
  <c r="G215" i="62"/>
  <c r="H215" i="62"/>
  <c r="M215" i="62"/>
  <c r="L215" i="62"/>
  <c r="K215" i="62"/>
  <c r="G214" i="62"/>
  <c r="H214" i="62"/>
  <c r="M214" i="62"/>
  <c r="L214" i="62"/>
  <c r="K214" i="62"/>
  <c r="G213" i="62"/>
  <c r="H213" i="62"/>
  <c r="M213" i="62"/>
  <c r="L213" i="62"/>
  <c r="K213" i="62"/>
  <c r="G212" i="62"/>
  <c r="H212" i="62"/>
  <c r="M212" i="62"/>
  <c r="L212" i="62"/>
  <c r="K212" i="62"/>
  <c r="G211" i="62"/>
  <c r="H211" i="62"/>
  <c r="M211" i="62"/>
  <c r="L211" i="62"/>
  <c r="K211" i="62"/>
  <c r="G208" i="62"/>
  <c r="H208" i="62"/>
  <c r="M208" i="62"/>
  <c r="L208" i="62"/>
  <c r="K208" i="62"/>
  <c r="G207" i="62"/>
  <c r="H207" i="62"/>
  <c r="M207" i="62"/>
  <c r="L207" i="62"/>
  <c r="K207" i="62"/>
  <c r="G206" i="62"/>
  <c r="H206" i="62"/>
  <c r="M206" i="62"/>
  <c r="L206" i="62"/>
  <c r="K206" i="62"/>
  <c r="G205" i="62"/>
  <c r="H205" i="62"/>
  <c r="M205" i="62"/>
  <c r="L205" i="62"/>
  <c r="K205" i="62"/>
  <c r="G204" i="62"/>
  <c r="H204" i="62"/>
  <c r="M204" i="62"/>
  <c r="L204" i="62"/>
  <c r="K204" i="62"/>
  <c r="G203" i="62"/>
  <c r="H203" i="62"/>
  <c r="M203" i="62"/>
  <c r="L203" i="62"/>
  <c r="K203" i="62"/>
  <c r="G202" i="62"/>
  <c r="H202" i="62"/>
  <c r="M202" i="62"/>
  <c r="L202" i="62"/>
  <c r="K202" i="62"/>
  <c r="G201" i="62"/>
  <c r="H201" i="62"/>
  <c r="M201" i="62"/>
  <c r="L201" i="62"/>
  <c r="K201" i="62"/>
  <c r="G200" i="62"/>
  <c r="H200" i="62"/>
  <c r="M200" i="62"/>
  <c r="L200" i="62"/>
  <c r="K200" i="62"/>
  <c r="G199" i="62"/>
  <c r="H199" i="62"/>
  <c r="M199" i="62"/>
  <c r="L199" i="62"/>
  <c r="K199" i="62"/>
  <c r="G198" i="62"/>
  <c r="H198" i="62"/>
  <c r="M198" i="62"/>
  <c r="L198" i="62"/>
  <c r="K198" i="62"/>
  <c r="G197" i="62"/>
  <c r="H197" i="62"/>
  <c r="M197" i="62"/>
  <c r="L197" i="62"/>
  <c r="K197" i="62"/>
  <c r="G196" i="62"/>
  <c r="H196" i="62"/>
  <c r="M196" i="62"/>
  <c r="L196" i="62"/>
  <c r="K196" i="62"/>
  <c r="G177" i="62"/>
  <c r="H177" i="62"/>
  <c r="M177" i="62"/>
  <c r="L177" i="62"/>
  <c r="K177" i="62"/>
  <c r="G176" i="62"/>
  <c r="H176" i="62"/>
  <c r="M176" i="62"/>
  <c r="L176" i="62"/>
  <c r="K176" i="62"/>
  <c r="G175" i="62"/>
  <c r="H175" i="62"/>
  <c r="M175" i="62"/>
  <c r="L175" i="62"/>
  <c r="K175" i="62"/>
  <c r="G174" i="62"/>
  <c r="H174" i="62"/>
  <c r="M174" i="62"/>
  <c r="L174" i="62"/>
  <c r="K174" i="62"/>
  <c r="G173" i="62"/>
  <c r="H173" i="62"/>
  <c r="M173" i="62"/>
  <c r="L173" i="62"/>
  <c r="K173" i="62"/>
  <c r="G172" i="62"/>
  <c r="H172" i="62"/>
  <c r="M172" i="62"/>
  <c r="L172" i="62"/>
  <c r="K172" i="62"/>
  <c r="G171" i="62"/>
  <c r="H171" i="62"/>
  <c r="M171" i="62"/>
  <c r="L171" i="62"/>
  <c r="K171" i="62"/>
  <c r="G158" i="62"/>
  <c r="H158" i="62"/>
  <c r="M158" i="62"/>
  <c r="L158" i="62"/>
  <c r="K158" i="62"/>
  <c r="G157" i="62"/>
  <c r="H157" i="62"/>
  <c r="M157" i="62"/>
  <c r="L157" i="62"/>
  <c r="K157" i="62"/>
  <c r="G156" i="62"/>
  <c r="H156" i="62"/>
  <c r="M156" i="62"/>
  <c r="L156" i="62"/>
  <c r="K156" i="62"/>
  <c r="G155" i="62"/>
  <c r="H155" i="62"/>
  <c r="M155" i="62"/>
  <c r="L155" i="62"/>
  <c r="K155" i="62"/>
  <c r="G154" i="62"/>
  <c r="H154" i="62"/>
  <c r="M154" i="62"/>
  <c r="L154" i="62"/>
  <c r="K154" i="62"/>
  <c r="G153" i="62"/>
  <c r="H153" i="62"/>
  <c r="M153" i="62"/>
  <c r="L153" i="62"/>
  <c r="K153" i="62"/>
  <c r="G152" i="62"/>
  <c r="H152" i="62"/>
  <c r="M152" i="62"/>
  <c r="L152" i="62"/>
  <c r="K152" i="62"/>
  <c r="G151" i="62"/>
  <c r="H151" i="62"/>
  <c r="M151" i="62"/>
  <c r="L151" i="62"/>
  <c r="K151" i="62"/>
  <c r="G150" i="62"/>
  <c r="H150" i="62"/>
  <c r="M150" i="62"/>
  <c r="L150" i="62"/>
  <c r="K150" i="62"/>
  <c r="G149" i="62"/>
  <c r="H149" i="62"/>
  <c r="M149" i="62"/>
  <c r="L149" i="62"/>
  <c r="K149" i="62"/>
  <c r="G148" i="62"/>
  <c r="H148" i="62"/>
  <c r="M148" i="62"/>
  <c r="L148" i="62"/>
  <c r="K148" i="62"/>
  <c r="G147" i="62"/>
  <c r="H147" i="62"/>
  <c r="M147" i="62"/>
  <c r="L147" i="62"/>
  <c r="K147" i="62"/>
  <c r="G146" i="62"/>
  <c r="H146" i="62"/>
  <c r="M146" i="62"/>
  <c r="L146" i="62"/>
  <c r="K146" i="62"/>
  <c r="G145" i="62"/>
  <c r="H145" i="62"/>
  <c r="M145" i="62"/>
  <c r="L145" i="62"/>
  <c r="K145" i="62"/>
  <c r="G144" i="62"/>
  <c r="H144" i="62"/>
  <c r="M144" i="62"/>
  <c r="L144" i="62"/>
  <c r="K144" i="62"/>
  <c r="G143" i="62"/>
  <c r="H143" i="62"/>
  <c r="M143" i="62"/>
  <c r="L143" i="62"/>
  <c r="K143" i="62"/>
  <c r="G142" i="62"/>
  <c r="H142" i="62"/>
  <c r="M142" i="62"/>
  <c r="L142" i="62"/>
  <c r="K142" i="62"/>
  <c r="G141" i="62"/>
  <c r="H141" i="62"/>
  <c r="M141" i="62"/>
  <c r="L141" i="62"/>
  <c r="K141" i="62"/>
  <c r="G140" i="62"/>
  <c r="H140" i="62"/>
  <c r="M140" i="62"/>
  <c r="L140" i="62"/>
  <c r="K140" i="62"/>
  <c r="G139" i="62"/>
  <c r="H139" i="62"/>
  <c r="M139" i="62"/>
  <c r="L139" i="62"/>
  <c r="K139" i="62"/>
  <c r="G138" i="62"/>
  <c r="H138" i="62"/>
  <c r="M138" i="62"/>
  <c r="L138" i="62"/>
  <c r="K138" i="62"/>
  <c r="G137" i="62"/>
  <c r="H137" i="62"/>
  <c r="M137" i="62"/>
  <c r="L137" i="62"/>
  <c r="K137" i="62"/>
  <c r="G136" i="62"/>
  <c r="H136" i="62"/>
  <c r="M136" i="62"/>
  <c r="L136" i="62"/>
  <c r="K136" i="62"/>
  <c r="G135" i="62"/>
  <c r="H135" i="62"/>
  <c r="M135" i="62"/>
  <c r="L135" i="62"/>
  <c r="K135" i="62"/>
  <c r="G134" i="62"/>
  <c r="H134" i="62"/>
  <c r="M134" i="62"/>
  <c r="L134" i="62"/>
  <c r="K134" i="62"/>
  <c r="G133" i="62"/>
  <c r="H133" i="62"/>
  <c r="M133" i="62"/>
  <c r="L133" i="62"/>
  <c r="K133" i="62"/>
  <c r="G132" i="62"/>
  <c r="H132" i="62"/>
  <c r="M132" i="62"/>
  <c r="L132" i="62"/>
  <c r="K132" i="62"/>
  <c r="G131" i="62"/>
  <c r="H131" i="62"/>
  <c r="M131" i="62"/>
  <c r="L131" i="62"/>
  <c r="K131" i="62"/>
  <c r="G130" i="62"/>
  <c r="H130" i="62"/>
  <c r="M130" i="62"/>
  <c r="L130" i="62"/>
  <c r="K130" i="62"/>
  <c r="G129" i="62"/>
  <c r="H129" i="62"/>
  <c r="M129" i="62"/>
  <c r="L129" i="62"/>
  <c r="K129" i="62"/>
  <c r="G128" i="62"/>
  <c r="H128" i="62"/>
  <c r="M128" i="62"/>
  <c r="L128" i="62"/>
  <c r="K128" i="62"/>
  <c r="G127" i="62"/>
  <c r="H127" i="62"/>
  <c r="M127" i="62"/>
  <c r="L127" i="62"/>
  <c r="K127" i="62"/>
  <c r="G126" i="62"/>
  <c r="H126" i="62"/>
  <c r="M126" i="62"/>
  <c r="L126" i="62"/>
  <c r="K126" i="62"/>
  <c r="G125" i="62"/>
  <c r="H125" i="62"/>
  <c r="M125" i="62"/>
  <c r="L125" i="62"/>
  <c r="K125" i="62"/>
  <c r="G124" i="62"/>
  <c r="H124" i="62"/>
  <c r="M124" i="62"/>
  <c r="L124" i="62"/>
  <c r="K124" i="62"/>
  <c r="G123" i="62"/>
  <c r="H123" i="62"/>
  <c r="M123" i="62"/>
  <c r="L123" i="62"/>
  <c r="K123" i="62"/>
  <c r="G122" i="62"/>
  <c r="H122" i="62"/>
  <c r="M122" i="62"/>
  <c r="L122" i="62"/>
  <c r="K122" i="62"/>
  <c r="G121" i="62"/>
  <c r="H121" i="62"/>
  <c r="M121" i="62"/>
  <c r="L121" i="62"/>
  <c r="K121" i="62"/>
  <c r="G120" i="62"/>
  <c r="H120" i="62"/>
  <c r="M120" i="62"/>
  <c r="L120" i="62"/>
  <c r="K120" i="62"/>
  <c r="G119" i="62"/>
  <c r="H119" i="62"/>
  <c r="M119" i="62"/>
  <c r="L119" i="62"/>
  <c r="K119" i="62"/>
  <c r="G65" i="62"/>
  <c r="H65" i="62"/>
  <c r="M65" i="62"/>
  <c r="L65" i="62"/>
  <c r="K65" i="62"/>
  <c r="G64" i="62"/>
  <c r="H64" i="62"/>
  <c r="M64" i="62"/>
  <c r="L64" i="62"/>
  <c r="K64" i="62"/>
  <c r="G63" i="62"/>
  <c r="H63" i="62"/>
  <c r="M63" i="62"/>
  <c r="L63" i="62"/>
  <c r="K63" i="62"/>
  <c r="G62" i="62"/>
  <c r="H62" i="62"/>
  <c r="M62" i="62"/>
  <c r="L62" i="62"/>
  <c r="K62" i="62"/>
  <c r="G61" i="62"/>
  <c r="H61" i="62"/>
  <c r="M61" i="62"/>
  <c r="L61" i="62"/>
  <c r="K61" i="62"/>
  <c r="G60" i="62"/>
  <c r="H60" i="62"/>
  <c r="M60" i="62"/>
  <c r="L60" i="62"/>
  <c r="K60" i="62"/>
  <c r="G59" i="62"/>
  <c r="H59" i="62"/>
  <c r="M59" i="62"/>
  <c r="L59" i="62"/>
  <c r="K59" i="62"/>
  <c r="G58" i="62"/>
  <c r="H58" i="62"/>
  <c r="M58" i="62"/>
  <c r="L58" i="62"/>
  <c r="K58" i="62"/>
  <c r="G57" i="62"/>
  <c r="H57" i="62"/>
  <c r="M57" i="62"/>
  <c r="L57" i="62"/>
  <c r="K57" i="62"/>
  <c r="G56" i="62"/>
  <c r="H56" i="62"/>
  <c r="M56" i="62"/>
  <c r="L56" i="62"/>
  <c r="K56" i="62"/>
  <c r="G55" i="62"/>
  <c r="H55" i="62"/>
  <c r="M55" i="62"/>
  <c r="L55" i="62"/>
  <c r="K55" i="62"/>
  <c r="G54" i="62"/>
  <c r="H54" i="62"/>
  <c r="M54" i="62"/>
  <c r="L54" i="62"/>
  <c r="K54" i="62"/>
  <c r="G53" i="62"/>
  <c r="H53" i="62"/>
  <c r="M53" i="62"/>
  <c r="L53" i="62"/>
  <c r="K53" i="62"/>
  <c r="M52" i="62"/>
  <c r="L52" i="62"/>
  <c r="G51" i="62"/>
  <c r="H51" i="62"/>
  <c r="M51" i="62"/>
  <c r="L51" i="62"/>
  <c r="K51" i="62"/>
  <c r="M50" i="62"/>
  <c r="L50" i="62"/>
  <c r="G49" i="62"/>
  <c r="H49" i="62"/>
  <c r="M49" i="62"/>
  <c r="L49" i="62"/>
  <c r="K49" i="62"/>
  <c r="G48" i="62"/>
  <c r="H48" i="62"/>
  <c r="M48" i="62"/>
  <c r="L48" i="62"/>
  <c r="K48" i="62"/>
  <c r="G47" i="62"/>
  <c r="H47" i="62"/>
  <c r="M47" i="62"/>
  <c r="L47" i="62"/>
  <c r="K47" i="62"/>
  <c r="G46" i="62"/>
  <c r="H46" i="62"/>
  <c r="M46" i="62"/>
  <c r="L46" i="62"/>
  <c r="K46" i="62"/>
  <c r="G45" i="62"/>
  <c r="H45" i="62"/>
  <c r="M45" i="62"/>
  <c r="L45" i="62"/>
  <c r="K45" i="62"/>
  <c r="G44" i="62"/>
  <c r="H44" i="62"/>
  <c r="M44" i="62"/>
  <c r="L44" i="62"/>
  <c r="K44" i="62"/>
  <c r="G43" i="62"/>
  <c r="H43" i="62"/>
  <c r="K43" i="62"/>
  <c r="L43" i="62"/>
  <c r="M43" i="62"/>
</calcChain>
</file>

<file path=xl/comments1.xml><?xml version="1.0" encoding="utf-8"?>
<comments xmlns="http://schemas.openxmlformats.org/spreadsheetml/2006/main">
  <authors>
    <author>Adam Hartstein</author>
  </authors>
  <commentList>
    <comment ref="J6" authorId="0">
      <text>
        <r>
          <rPr>
            <b/>
            <sz val="9"/>
            <color indexed="81"/>
            <rFont val="Tahoma"/>
            <family val="2"/>
          </rPr>
          <t>These fields will automatically populate based on start date and estimated end date.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These fields will automatically populate based on start date, estimated end date, and the projected phase end dates provided below.</t>
        </r>
      </text>
    </comment>
  </commentList>
</comments>
</file>

<file path=xl/sharedStrings.xml><?xml version="1.0" encoding="utf-8"?>
<sst xmlns="http://schemas.openxmlformats.org/spreadsheetml/2006/main" count="1910" uniqueCount="462">
  <si>
    <t>Actual Date Complete</t>
  </si>
  <si>
    <t>Estimated End Date</t>
  </si>
  <si>
    <t>Status Notes</t>
  </si>
  <si>
    <t>B</t>
  </si>
  <si>
    <t xml:space="preserve">Status </t>
  </si>
  <si>
    <t>Owner</t>
  </si>
  <si>
    <t>C</t>
  </si>
  <si>
    <t>Complete</t>
  </si>
  <si>
    <t>Estimated Days</t>
  </si>
  <si>
    <t>On track</t>
  </si>
  <si>
    <t>G</t>
  </si>
  <si>
    <t>Y</t>
  </si>
  <si>
    <t>R</t>
  </si>
  <si>
    <t>Escalation, assistance reqd</t>
  </si>
  <si>
    <t>Description of dependency</t>
  </si>
  <si>
    <t>Phase This Task Will Be Completed</t>
  </si>
  <si>
    <t>D</t>
  </si>
  <si>
    <t>E</t>
  </si>
  <si>
    <t>F</t>
  </si>
  <si>
    <t>H</t>
  </si>
  <si>
    <t>Non-
Neg
(Y/N)</t>
  </si>
  <si>
    <t>Function:</t>
  </si>
  <si>
    <t>Duration</t>
  </si>
  <si>
    <t>Date dependency needs to be delivered</t>
  </si>
  <si>
    <t>Alignment complete 
(R, Y, G, C)</t>
  </si>
  <si>
    <t>Dependency Tracking</t>
  </si>
  <si>
    <t>Pre-Close
to Day 1</t>
  </si>
  <si>
    <t>Start Date</t>
  </si>
  <si>
    <t>Task Focus</t>
  </si>
  <si>
    <t>Task Description</t>
  </si>
  <si>
    <t>YE 2012</t>
  </si>
  <si>
    <t>Task</t>
  </si>
  <si>
    <t>Dependency on… (dept, person, vendor, etc)</t>
  </si>
  <si>
    <t>Lead:</t>
  </si>
  <si>
    <t>Potential delay, but no assist. reqd</t>
  </si>
  <si>
    <t>Status Key:</t>
  </si>
  <si>
    <t>Column</t>
  </si>
  <si>
    <t>If task is non-negotiable and must be implement, indicate "Y" for Yes or "N" for No</t>
  </si>
  <si>
    <t>Non-negotiable</t>
  </si>
  <si>
    <t>Name of task owner responsible for implementation</t>
  </si>
  <si>
    <t>Functional area /high-level task focus</t>
  </si>
  <si>
    <t>Description of task or key milestone</t>
  </si>
  <si>
    <t>End Date</t>
  </si>
  <si>
    <t>Completion Date</t>
  </si>
  <si>
    <t>Enter estimated start date of task</t>
  </si>
  <si>
    <t>Enter estimated end date of task</t>
  </si>
  <si>
    <t xml:space="preserve">Once task is completed, please enter date </t>
  </si>
  <si>
    <t>M</t>
  </si>
  <si>
    <t>Status</t>
  </si>
  <si>
    <t>Please complete the following columns for your functional integration plan:</t>
  </si>
  <si>
    <t>Use drop down to select status update according to legend (identifies status on dates identified)</t>
  </si>
  <si>
    <t>P-S</t>
  </si>
  <si>
    <t>departments you have a dependency on to complete your work)</t>
  </si>
  <si>
    <t>Status Key / Legend:</t>
  </si>
  <si>
    <t>Description of Inputs Required</t>
  </si>
  <si>
    <t xml:space="preserve">This is optional, but highly desirable to identify, communicate and get agreement with other </t>
  </si>
  <si>
    <t xml:space="preserve">Dependency Mgmt Plan </t>
  </si>
  <si>
    <t>Please do not modify the Functional Integration Plan template.  If you have proposed changes, please talk to PMO for review.</t>
  </si>
  <si>
    <t>Phase 1:
Days 2- 90</t>
  </si>
  <si>
    <t>Phase 2:
Days 91+</t>
  </si>
  <si>
    <t xml:space="preserve"> IT Infrastructure</t>
  </si>
  <si>
    <t>Tony Quintus</t>
  </si>
  <si>
    <t>Due Dilligence</t>
  </si>
  <si>
    <t>Management Office / Communication</t>
  </si>
  <si>
    <t xml:space="preserve"> </t>
  </si>
  <si>
    <t>Determine if TSA is required and application impacts as a result</t>
  </si>
  <si>
    <t>Create M&amp;A Council DD and Integration Planning Report</t>
  </si>
  <si>
    <t>Evaluate International Constraints for Day 1 Deliverables</t>
  </si>
  <si>
    <t>Create CIO Staff IT Due Dilligence Email and Report</t>
  </si>
  <si>
    <t>Evaluate legacy acquisition network for sustaining and scaling</t>
  </si>
  <si>
    <t>IT integration cost budget defined and approved</t>
  </si>
  <si>
    <t>Value Creation</t>
  </si>
  <si>
    <t>Analyze IT Financials of target</t>
  </si>
  <si>
    <t>Identify high level synergy opportunities</t>
  </si>
  <si>
    <t>Understand common baseline technologies for target industry</t>
  </si>
  <si>
    <t>Organization &amp; Workforce</t>
  </si>
  <si>
    <t>Assess IT Organization</t>
  </si>
  <si>
    <t>Evaluate cultural considerations</t>
  </si>
  <si>
    <t>Create IT retention list</t>
  </si>
  <si>
    <t>Software &amp; Vendor Management</t>
  </si>
  <si>
    <t>Review software licensing management &amp; renewal process</t>
  </si>
  <si>
    <t>Understand T&amp;C's of target vendors</t>
  </si>
  <si>
    <t>Review list of software licenses / contracts</t>
  </si>
  <si>
    <t>Application Integration Plans Defined</t>
  </si>
  <si>
    <t>Develop initital application blueprint</t>
  </si>
  <si>
    <t>Determine urgency of application deliverables due to competitive pressures</t>
  </si>
  <si>
    <t>Review MDM strategy</t>
  </si>
  <si>
    <t>Integration</t>
  </si>
  <si>
    <t>1.1.0</t>
  </si>
  <si>
    <t>1.1.1</t>
  </si>
  <si>
    <t>1.1.2</t>
  </si>
  <si>
    <t>1.1.3</t>
  </si>
  <si>
    <t>1.1.4</t>
  </si>
  <si>
    <t>1.1.5</t>
  </si>
  <si>
    <t>1.1.6</t>
  </si>
  <si>
    <t>1.2.0</t>
  </si>
  <si>
    <t>1.2.1</t>
  </si>
  <si>
    <t>1.2.2</t>
  </si>
  <si>
    <t>1.2.3</t>
  </si>
  <si>
    <t>1.3.0</t>
  </si>
  <si>
    <t>1.3.1</t>
  </si>
  <si>
    <t>1.3.2</t>
  </si>
  <si>
    <t>1.3.3</t>
  </si>
  <si>
    <t>1.4.0</t>
  </si>
  <si>
    <t>1.4.1</t>
  </si>
  <si>
    <t>1.4.2</t>
  </si>
  <si>
    <t>1.4.3</t>
  </si>
  <si>
    <t>1.5.0</t>
  </si>
  <si>
    <t>1.5.1</t>
  </si>
  <si>
    <t>1.5.2</t>
  </si>
  <si>
    <t>1.5.3</t>
  </si>
  <si>
    <t>2.1.0</t>
  </si>
  <si>
    <t>2.1.1</t>
  </si>
  <si>
    <t>2.1.2</t>
  </si>
  <si>
    <t>2.1.3</t>
  </si>
  <si>
    <t>2.1.4</t>
  </si>
  <si>
    <t>2.1.5</t>
  </si>
  <si>
    <t>2.1.6</t>
  </si>
  <si>
    <t>2.1.7</t>
  </si>
  <si>
    <t>Timing</t>
  </si>
  <si>
    <t>Pre-Day 1</t>
  </si>
  <si>
    <t>Day 91+</t>
  </si>
  <si>
    <t>Establish Sharepoint site for acquisition</t>
  </si>
  <si>
    <t>Reaffirm Day 1 IT Deliverables with Integration Exec</t>
  </si>
  <si>
    <t>Start the integration planning process (Day 1-30-60-90 commitments)</t>
  </si>
  <si>
    <t>Participate in IMO Kickoff meeting</t>
  </si>
  <si>
    <t>Plan IT Integration Kickoff meeting</t>
  </si>
  <si>
    <t>Formulate / incorporate technology communication plan</t>
  </si>
  <si>
    <t>Engage with Infrastructure team &amp; infrastructure PM</t>
  </si>
  <si>
    <t>Engage with Application teams</t>
  </si>
  <si>
    <t>Conduct Day 1 Readiness planning sessions</t>
  </si>
  <si>
    <t>Coordinate IT activities for acquisition announcement day</t>
  </si>
  <si>
    <t>Confirm IT integration plan aligns with defined business strategy</t>
  </si>
  <si>
    <t>Communicate to IMO if IT plan has significant impact to other BU's IT roadmap</t>
  </si>
  <si>
    <t>Identify appropriate business resources to support IT integration projects</t>
  </si>
  <si>
    <t>Create IT overview deck for CIO staff</t>
  </si>
  <si>
    <t>Ensure target orders additional capacity for website for Day 1</t>
  </si>
  <si>
    <t>Determine if there is an applicable IT POC for acquired products and services</t>
  </si>
  <si>
    <t>Determine funding for IT POC</t>
  </si>
  <si>
    <t>Conduct orientation for acquisition's IT leadership team</t>
  </si>
  <si>
    <t>Conduct IT Kickoff Meeting</t>
  </si>
  <si>
    <t>Establish IT integration teams</t>
  </si>
  <si>
    <t>Request IT teams to size work efforts</t>
  </si>
  <si>
    <t>Prepare GCCRB request &amp; get CIO approval for funding</t>
  </si>
  <si>
    <t>Set up PMO work units</t>
  </si>
  <si>
    <t>Execute the POC</t>
  </si>
  <si>
    <t>Review integration plan with BIO</t>
  </si>
  <si>
    <t>Review Budget</t>
  </si>
  <si>
    <t>Closeout presentation to IMO, BIO &amp; Stakeholders</t>
  </si>
  <si>
    <t>Recognize the team</t>
  </si>
  <si>
    <t>Prepare knowledge transfer documents</t>
  </si>
  <si>
    <t>Conduct lessons learned session with team</t>
  </si>
  <si>
    <t>Prepare IT Infrastructure Synergy Model</t>
  </si>
  <si>
    <t>Track synergies</t>
  </si>
  <si>
    <t>Incorporate IT synergies into IT Budget</t>
  </si>
  <si>
    <t>Document financial impacts of short term solutions</t>
  </si>
  <si>
    <t>Review final synergy report</t>
  </si>
  <si>
    <t>Confirm with Integration Exec the IT Integration Success Factors</t>
  </si>
  <si>
    <t>Identify pre-day 1 team</t>
  </si>
  <si>
    <t>Determine placement of IT employees in organization</t>
  </si>
  <si>
    <t>Assimilation training &amp; orientation for new IT staff</t>
  </si>
  <si>
    <t>Initiate organizational optimization</t>
  </si>
  <si>
    <t>Manage culture and change readiness</t>
  </si>
  <si>
    <t>Confirm IT assumptions for software contracts and licenses</t>
  </si>
  <si>
    <t>Partner with Procurement to understand impact of UL licensing agreements on target</t>
  </si>
  <si>
    <t>Rationalize Vendor &amp; Software license contracts</t>
  </si>
  <si>
    <t>Submit list of 3rd party software licenses to standards board for review</t>
  </si>
  <si>
    <t>Attend standards review board</t>
  </si>
  <si>
    <t>Ensure 3rd party software is added to CMDB and support model is in place</t>
  </si>
  <si>
    <t>Participate with Procurement for security risk assessments of non-standard vendors</t>
  </si>
  <si>
    <t>IT M&amp;A Work Plan</t>
  </si>
  <si>
    <t>Day 1 Network Connectivity Completed</t>
  </si>
  <si>
    <t>Perform preliminary network assessment</t>
  </si>
  <si>
    <t>Plan &amp; Design full network integration solution</t>
  </si>
  <si>
    <t>Request AFE for remaining network equipment</t>
  </si>
  <si>
    <t>Provide Day 1 network design</t>
  </si>
  <si>
    <t>Complete review of infrastructure providers</t>
  </si>
  <si>
    <t>Request Day 1 network AFE</t>
  </si>
  <si>
    <t>Order circuits &amp; long lead time network hardware</t>
  </si>
  <si>
    <t>Implement Day 1 network solution</t>
  </si>
  <si>
    <t>Enable Lync messaging between acquisition and corporate</t>
  </si>
  <si>
    <t>End State Netwrok Connectivity Completed</t>
  </si>
  <si>
    <t>Conduct Network integration Site Survey</t>
  </si>
  <si>
    <t>Order network equipment</t>
  </si>
  <si>
    <t>Escalate long lead times with vendor</t>
  </si>
  <si>
    <t>Configure and test network equipment</t>
  </si>
  <si>
    <t>Transition 3rd party DNS</t>
  </si>
  <si>
    <t>Design and migrate Extranet</t>
  </si>
  <si>
    <t>Remote connectivity established</t>
  </si>
  <si>
    <t>Document requirements</t>
  </si>
  <si>
    <t>Review requirements with Remote Application Delivery Services</t>
  </si>
  <si>
    <t>Define solution and tailor user guide accordingly</t>
  </si>
  <si>
    <t>Laptops Distributed</t>
  </si>
  <si>
    <t>Identify PC requirements for Day 1 clients</t>
  </si>
  <si>
    <t>Review proposal needs</t>
  </si>
  <si>
    <t>Create client computing AFE by region</t>
  </si>
  <si>
    <t>Order client pc's for every employee at target company</t>
  </si>
  <si>
    <t>Work with HR to ensure appropriate lead time for employee load to Oracle HR</t>
  </si>
  <si>
    <t>Contact vendor to expedite client orders</t>
  </si>
  <si>
    <t>Build delivery and deployment timeline</t>
  </si>
  <si>
    <t>Create AD accounts and email</t>
  </si>
  <si>
    <t>Request Citrix accounts for all employees</t>
  </si>
  <si>
    <t>Prepare notebooks for deployment, Identify POC for delivery, obtain staging area at target</t>
  </si>
  <si>
    <t>Order laptop locks using p-card</t>
  </si>
  <si>
    <t>Tailor user guide for target</t>
  </si>
  <si>
    <t>Deliver workstations and laptop locks to target</t>
  </si>
  <si>
    <t>Determine if site(s) require full-time onsite support personnel</t>
  </si>
  <si>
    <t>Deploy clients to acquired complany on Day 1</t>
  </si>
  <si>
    <t>Provide onsite support for two weeks</t>
  </si>
  <si>
    <t>Distribute User Guide and IT Corporate Policy / Guidelines</t>
  </si>
  <si>
    <t>Develop Client migration plan</t>
  </si>
  <si>
    <t>Communicate and execute the asset recovery process</t>
  </si>
  <si>
    <t>Migrate client data</t>
  </si>
  <si>
    <t>Migrate acquired company to managed printer solution</t>
  </si>
  <si>
    <t>Turn over support to internal service desk</t>
  </si>
  <si>
    <t>Mobile Messaging Completed</t>
  </si>
  <si>
    <t>Communicate mobile messaging policies and approval process to target and business sponsor</t>
  </si>
  <si>
    <t>Request a list of current mobile devices, types and contracts</t>
  </si>
  <si>
    <t>Get approved list of employees who will receive a UL issued device</t>
  </si>
  <si>
    <t>Order mobile messaging devices for team members</t>
  </si>
  <si>
    <t>Email Configured</t>
  </si>
  <si>
    <t>Validate email server capacity is available to support new acquisition</t>
  </si>
  <si>
    <t>create email accounts (automated process after HR load)</t>
  </si>
  <si>
    <t>Set up email forwarding to target</t>
  </si>
  <si>
    <t>Reverse email forwarding as soon as BB are received</t>
  </si>
  <si>
    <t>Migrate email from legacy mail to UL O365</t>
  </si>
  <si>
    <t>Plan for decommisioning of target email servers</t>
  </si>
  <si>
    <t>Decommision target email environment</t>
  </si>
  <si>
    <t>Voice and Contact Center Solution Implemented</t>
  </si>
  <si>
    <t>Identify and assess target voice infrastructure</t>
  </si>
  <si>
    <t>Update phone numbers in corporate directory</t>
  </si>
  <si>
    <t>Document voice and contact center requirements and business process flows. Consider country specific codes and regulations.</t>
  </si>
  <si>
    <t>Design voice and contact center solution</t>
  </si>
  <si>
    <t>Provide recommendation on voice and contact center solution to business stakeholders</t>
  </si>
  <si>
    <t>Request resources based on voice and contact center solution (i.e. ACD, Telecom, Backbone, etc.)</t>
  </si>
  <si>
    <t>Order hardware/software/carrier services for voice and contact center solution</t>
  </si>
  <si>
    <t>Add IDD functionality and agent skills to ACD</t>
  </si>
  <si>
    <t>Deploy and test voice and contact center solution</t>
  </si>
  <si>
    <t>Capture telecom's billing information to be loaded into the telecom system</t>
  </si>
  <si>
    <t>Data Center and Lab Integration Plan Defined</t>
  </si>
  <si>
    <t>Perform assessment of data center and labs</t>
  </si>
  <si>
    <t>Determine data center consolidations</t>
  </si>
  <si>
    <t>Infrastructure monitoring</t>
  </si>
  <si>
    <t>Server and Storage Integration Plan Defined</t>
  </si>
  <si>
    <t>Obtain inventory of servers and storage</t>
  </si>
  <si>
    <t>Indentify plan for server refresh and/or relocation</t>
  </si>
  <si>
    <t>Define server refresh strategy</t>
  </si>
  <si>
    <t>Review server refresh findings with business stakeholders</t>
  </si>
  <si>
    <t>Execute server refresh strategy</t>
  </si>
  <si>
    <t>Determine if legacy servers are running on EOL software and the ability to migrate to UL standards</t>
  </si>
  <si>
    <t>Security Firewalls Installed</t>
  </si>
  <si>
    <t>Refine security &amp; risk assessment, leverage questionnaire</t>
  </si>
  <si>
    <t>Determine what security exceptions may be required</t>
  </si>
  <si>
    <t>Prepare IT Infrastructure Security and Compliance Plans</t>
  </si>
  <si>
    <t>Enable Day 1 Security and Compliance Capability</t>
  </si>
  <si>
    <t>Review firewall and network topology</t>
  </si>
  <si>
    <t>Assume management of/or install security gear to ensure UL has control over all ingress/egress points to UL owned networks</t>
  </si>
  <si>
    <t>Configure firewall rules for application access</t>
  </si>
  <si>
    <t>Conduct security review (policy &amp; practice), leverage questionnaire</t>
  </si>
  <si>
    <t>Special application archival requirements</t>
  </si>
  <si>
    <t>Close security exceptions</t>
  </si>
  <si>
    <t>Develop application  migration strategy</t>
  </si>
  <si>
    <t>Ensure preservation of target IP value</t>
  </si>
  <si>
    <t>Establish Day 1 applications</t>
  </si>
  <si>
    <t>Plan Day 1 access to appropriate applications</t>
  </si>
  <si>
    <t>Alert relevant application teams of upcoming integration effort</t>
  </si>
  <si>
    <t>Enable Day 1 applications</t>
  </si>
  <si>
    <t>Migrate acquired company strategic apps to UL data center</t>
  </si>
  <si>
    <t>Create PAD document</t>
  </si>
  <si>
    <t>Develop application integration roadmap</t>
  </si>
  <si>
    <t>Design future state application platform</t>
  </si>
  <si>
    <t>Develop target system knowledge transfer</t>
  </si>
  <si>
    <t>Change applications - deploy code</t>
  </si>
  <si>
    <t>System integration test</t>
  </si>
  <si>
    <t>User acceptance test</t>
  </si>
  <si>
    <t>System go live</t>
  </si>
  <si>
    <t>Decommision and dispose of retired infrastructure associated with retired apps</t>
  </si>
  <si>
    <t>Evaluate &amp; formulate MDM migration strategy for Customer Asset and Product detail</t>
  </si>
  <si>
    <t>Integrate with UL's MDM hub</t>
  </si>
  <si>
    <t>Incorporate MDM strategy for customer asset and product</t>
  </si>
  <si>
    <t>CRM Migration Completed</t>
  </si>
  <si>
    <t>Gather CRM integration requirements</t>
  </si>
  <si>
    <t>Design CRM system changes</t>
  </si>
  <si>
    <t>Code CRM system changes</t>
  </si>
  <si>
    <t>knowledge transfer</t>
  </si>
  <si>
    <t>Prototype review with business</t>
  </si>
  <si>
    <t>Business accounting matching completed</t>
  </si>
  <si>
    <t>CRM system go live</t>
  </si>
  <si>
    <t>Infrastructure Services Plans Defined</t>
  </si>
  <si>
    <t>Perform site visit with Infrastructure and Facilities</t>
  </si>
  <si>
    <t>Engage the UL retired capital team to onboard the acquisition on apprpriate disposal process</t>
  </si>
  <si>
    <t>Review findings with business stakeholders</t>
  </si>
  <si>
    <t>Implement improvements to DR plan</t>
  </si>
  <si>
    <t>Complete IT End of integration support matrix</t>
  </si>
  <si>
    <t>Gather overall infrastructure integration requirements, conduct capacity analysis</t>
  </si>
  <si>
    <t>Create infrastructure BRD</t>
  </si>
  <si>
    <t>Define and execute Active Directory migration</t>
  </si>
  <si>
    <t>Define and communicate estimate of IT infrastructure costs</t>
  </si>
  <si>
    <t>Complete Service Desk plan</t>
  </si>
  <si>
    <t>If services led acquisition, determine how to align infrastructure and data center components</t>
  </si>
  <si>
    <t>Review document storage solutions and determine migration plan. Review records retention policy.</t>
  </si>
  <si>
    <t>Ensure video conferencing requirements are included in BRD</t>
  </si>
  <si>
    <t>Get quote, confirm funding and order video conferencing equipment</t>
  </si>
  <si>
    <t>Install Video Conferencing</t>
  </si>
  <si>
    <t>Publish interim SLA's and support model for the target</t>
  </si>
  <si>
    <t>Confirm decommision Plan for EOL products</t>
  </si>
  <si>
    <t>Create an inventory of IT M&amp;A application assets in Troux</t>
  </si>
  <si>
    <t>Execute location and Facilities integration</t>
  </si>
  <si>
    <t>Evaluate and implement DR solution</t>
  </si>
  <si>
    <t>Perform assessment of DR capabilities</t>
  </si>
  <si>
    <t>Perform assessment of DR  strategy and implementation</t>
  </si>
  <si>
    <t>Day 30</t>
  </si>
  <si>
    <t>Day 1</t>
  </si>
  <si>
    <t>Day 60</t>
  </si>
  <si>
    <t>Day 90</t>
  </si>
  <si>
    <t>Non-</t>
  </si>
  <si>
    <t>Neg</t>
  </si>
  <si>
    <t>(Y/N)</t>
  </si>
  <si>
    <t>Framework</t>
  </si>
  <si>
    <t>Establish an Organizational Model</t>
  </si>
  <si>
    <t>Evolving</t>
  </si>
  <si>
    <t>Establish an Integration Council (benefits M&amp;A and all project-based work)</t>
  </si>
  <si>
    <t>Data Governance</t>
  </si>
  <si>
    <t>Process Governance</t>
  </si>
  <si>
    <t>Architectural Governance</t>
  </si>
  <si>
    <t>PMO:</t>
  </si>
  <si>
    <t>Issue &amp; Risk Mgmt.</t>
  </si>
  <si>
    <t>Measurement &amp; Monitoring</t>
  </si>
  <si>
    <t>Lessons Learned</t>
  </si>
  <si>
    <t>Establish an Integration Mgmt. Office</t>
  </si>
  <si>
    <t>Planning &amp; Execution</t>
  </si>
  <si>
    <t>Hardware, System, Data, &amp; Processes</t>
  </si>
  <si>
    <t>Coordinate X-Functional teams (includes service owners)</t>
  </si>
  <si>
    <t>Integration Strategy Playbook:</t>
  </si>
  <si>
    <t>Establish a functional playbook</t>
  </si>
  <si>
    <t>Align on value points</t>
  </si>
  <si>
    <t>Align "commits" to UL's Shared Services Model across the M&amp;A Lifecycle</t>
  </si>
  <si>
    <t>Identify Key Metrics</t>
  </si>
  <si>
    <t xml:space="preserve">Track value points through the integration process </t>
  </si>
  <si>
    <t xml:space="preserve">Dedicated Team:  Director, PMs, BAs, Matrix of SMEs from Functional Areas </t>
  </si>
  <si>
    <t>Business Person: responsible for all aspects of growth &amp; identifies value points</t>
  </si>
  <si>
    <t>Sales Operations Person: to preserve the value points &amp; drive growth</t>
  </si>
  <si>
    <t>Technical Person: preserve the keys to success, protect value points, customer focused</t>
  </si>
  <si>
    <t>Establish Guiding Principles</t>
  </si>
  <si>
    <t>Establish Core Tenants</t>
  </si>
  <si>
    <t>Establish a Governance Model</t>
  </si>
  <si>
    <t>Define Principles &amp; Guidelines</t>
  </si>
  <si>
    <t>Tools, Templates, and Technology</t>
  </si>
  <si>
    <t>Define an M&amp;A Playbook for tracking all activities</t>
  </si>
  <si>
    <t>Functional Integration Plan</t>
  </si>
  <si>
    <t>Collaboration</t>
  </si>
  <si>
    <t>CRM Integration Plan</t>
  </si>
  <si>
    <t>Define Accelerator Tools</t>
  </si>
  <si>
    <t>Sales Optimization</t>
  </si>
  <si>
    <t>Draft &amp; Manage Program Plan &amp; Master Schedule covering sales operations</t>
  </si>
  <si>
    <t>Track delivery timelines and coordinate with Data Management</t>
  </si>
  <si>
    <t>Weekly CRM meetings with Acquisition Sales Leads, IT RMs, &amp; UL Sales Ops Leads</t>
  </si>
  <si>
    <t>M&amp;A IT responsible for drafting BRD &amp; Solution Architecture for Sales Integration</t>
  </si>
  <si>
    <t>Acquisition Account Mapping</t>
  </si>
  <si>
    <t>Data Profiling</t>
  </si>
  <si>
    <t>Data Matching, Mapping, &amp; Transformation</t>
  </si>
  <si>
    <t>Data Cleansing</t>
  </si>
  <si>
    <t>Alignment with Data Governance (customer &amp; marketing data)</t>
  </si>
  <si>
    <t>Identify account delivery points (pipeline &amp; customer info)</t>
  </si>
  <si>
    <t>Educate UL Sales Ops on acquisition's sales pipeline</t>
  </si>
  <si>
    <t>Train acquisition staff on UL tool(s)</t>
  </si>
  <si>
    <t>Provide buddy system (pairing UL CRM SME with acquisition sales manager) to ensure solution meets their needs (process, reports, metrics, data alignment)</t>
  </si>
  <si>
    <t>Planning</t>
  </si>
  <si>
    <t>Level 2 Site Assessment</t>
  </si>
  <si>
    <t>Post Day 1</t>
  </si>
  <si>
    <t>Business Requirements Document (BRD)</t>
  </si>
  <si>
    <t>Describe Core Process &amp; key exception processes</t>
  </si>
  <si>
    <t>Network assessment</t>
  </si>
  <si>
    <t>Security &amp; Risk Assessment</t>
  </si>
  <si>
    <t>Asset Inventory (physical &amp; logical)</t>
  </si>
  <si>
    <t>Facilities assessment</t>
  </si>
  <si>
    <t>Program Architecture Document</t>
  </si>
  <si>
    <t>Application Architecture</t>
  </si>
  <si>
    <t>Architecture Scope:</t>
  </si>
  <si>
    <t>Solution Architecture:</t>
  </si>
  <si>
    <t>Business Architecture</t>
  </si>
  <si>
    <t>Operational Architecture</t>
  </si>
  <si>
    <t>Information Architecture</t>
  </si>
  <si>
    <t>Align Solution Architecture with UL Reference Architecture (physical &amp; logical mapping of tools, services, and capabilities)</t>
  </si>
  <si>
    <t xml:space="preserve">Draft Functional Integration plan </t>
  </si>
  <si>
    <t>Incorporate Solution Architecture into Roadmap</t>
  </si>
  <si>
    <t>Use a consistent set of Metrics</t>
  </si>
  <si>
    <t>KPIs, Value Points, Function Points</t>
  </si>
  <si>
    <t>Establish milestones to review / approve Metrics</t>
  </si>
  <si>
    <t>Draft transition schedule, details &amp; status</t>
  </si>
  <si>
    <t>Review with Governance Teams</t>
  </si>
  <si>
    <t>Integration Roadmap</t>
  </si>
  <si>
    <t>key functional integration milestones completed</t>
  </si>
  <si>
    <t>Major Issues &amp; Risks have been addressed</t>
  </si>
  <si>
    <t>Minor Issues &amp; Risks have been addressed or signed off (but tracked)</t>
  </si>
  <si>
    <t>synergies realized</t>
  </si>
  <si>
    <t>value points preserved</t>
  </si>
  <si>
    <t>Business Plan optimized</t>
  </si>
  <si>
    <t>IT Architecture Roadmap Updated</t>
  </si>
  <si>
    <t>Transfer ownership to operational teams &amp; service owners</t>
  </si>
  <si>
    <t>Post-Integration</t>
  </si>
  <si>
    <t>Measure, Assess, and Transition</t>
  </si>
  <si>
    <t>Describe how architecture will enable business benefits</t>
  </si>
  <si>
    <t>Describe what architecture domains are in /out of scope</t>
  </si>
  <si>
    <t>Provide capability heat map</t>
  </si>
  <si>
    <t>Define the scope of each transition state (for SDLC)</t>
  </si>
  <si>
    <t>IT Infrastructure Investment Forecast</t>
  </si>
  <si>
    <t>Identify current target plans</t>
  </si>
  <si>
    <t>Forecast typical IT investments toward integration</t>
  </si>
  <si>
    <t>Prepare 3 year investment plan</t>
  </si>
  <si>
    <t>Review 3 year investment plan</t>
  </si>
  <si>
    <t>Opportunities for revenue synergies and cost savings</t>
  </si>
  <si>
    <t>Review other functional due diligence reports</t>
  </si>
  <si>
    <t>Resolve open questions/issues</t>
  </si>
  <si>
    <t>Complete Functional Due Dilligence Report</t>
  </si>
  <si>
    <t>Review materials supplied by target</t>
  </si>
  <si>
    <t>Compile on-site discovery findings</t>
  </si>
  <si>
    <t>Prepare IT Infrastructure report</t>
  </si>
  <si>
    <t>Determine integration considerations</t>
  </si>
  <si>
    <t>Due Dilligence Management Read Out</t>
  </si>
  <si>
    <t>Infrastructure Services Enabled</t>
  </si>
  <si>
    <t>Execution Planning Services Enabled</t>
  </si>
  <si>
    <t>Operational Services Enabled</t>
  </si>
  <si>
    <t>Differentiating Services Enabled</t>
  </si>
  <si>
    <t>Change Management and Budgeting Processes implemented</t>
  </si>
  <si>
    <t>(PMO, SDLC, QA, IT Finance, Governance, Service Mgmt, EA)</t>
  </si>
  <si>
    <t>Asset Management implemented</t>
  </si>
  <si>
    <t>Facilities, Computing Equipment, Office Equipment, Lab Inventory, Lab Raw Materials, and Software/Logical Assets</t>
  </si>
  <si>
    <t>Software, Vendor Management and Procurement Implemented</t>
  </si>
  <si>
    <t>Buy &amp; Pay Completed</t>
  </si>
  <si>
    <t>Aria Completed</t>
  </si>
  <si>
    <t>LIMS Completed</t>
  </si>
  <si>
    <t>LMS Completed</t>
  </si>
  <si>
    <t>Portal Services Completed</t>
  </si>
  <si>
    <t>Business Transition Complete</t>
  </si>
  <si>
    <t>Service Desk Completed</t>
  </si>
  <si>
    <t>End State Network Connectivity Completed</t>
  </si>
  <si>
    <t>Email Migration Completed</t>
  </si>
  <si>
    <t>Short-term Network Connectivity Completed</t>
  </si>
  <si>
    <t>Virtual Workplace Implementation Completed</t>
  </si>
  <si>
    <t>Cable Plant Upgraded</t>
  </si>
  <si>
    <t>LAN and Wireless Networking Solutions Implemented</t>
  </si>
  <si>
    <t>Employees provisioned in Oracle HR</t>
  </si>
  <si>
    <t>Employees provisioned in Active Directory</t>
  </si>
  <si>
    <t>Employees entered into the Global Employee Directory</t>
  </si>
  <si>
    <t>Employee mailboxes created and entered in Email Directory</t>
  </si>
  <si>
    <t>Employees Provisioned in Corporate Systems</t>
  </si>
  <si>
    <t>Initial Collaberation Solutions Established</t>
  </si>
  <si>
    <t>Microsoft Lync deployed to all employees</t>
  </si>
  <si>
    <t>Sharepoint access established for key staff</t>
  </si>
  <si>
    <t>KMS access established for key staff</t>
  </si>
  <si>
    <t>Employee informational and Welfare Solutions Enabled</t>
  </si>
  <si>
    <t>Intranet access established</t>
  </si>
  <si>
    <t>CEO webcast access confirmed</t>
  </si>
  <si>
    <t>DNS provisioned for UL.COM domain</t>
  </si>
  <si>
    <t>Employee HR orientation conducted</t>
  </si>
  <si>
    <t>Infrastructure Federation</t>
  </si>
  <si>
    <t>Active Directory Domain Trust established</t>
  </si>
  <si>
    <t>Disaster Recovery Plans Defined</t>
  </si>
  <si>
    <t>Create an inventory of IT M&amp;A application assets in CMDB</t>
  </si>
  <si>
    <t>Document all active or paused IT projects</t>
  </si>
  <si>
    <t>Identify service issues (failing or EOL solutions)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</si>
</sst>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_);@_)"/>
    <numFmt numFmtId="165" formatCode="mm/dd/yy;@"/>
  </numFmts>
  <fonts count="2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2"/>
      <color indexed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22"/>
      <color indexed="9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9"/>
      <color indexed="81"/>
      <name val="Tahoma"/>
      <family val="2"/>
    </font>
    <font>
      <b/>
      <u/>
      <sz val="10"/>
      <color indexed="9"/>
      <name val="Verdana"/>
      <family val="2"/>
    </font>
    <font>
      <sz val="14"/>
      <color indexed="10"/>
      <name val="Verdana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sz val="10"/>
      <color indexed="9"/>
      <name val="Verdana"/>
      <family val="2"/>
    </font>
    <font>
      <i/>
      <sz val="10"/>
      <name val="Verdana"/>
      <family val="2"/>
    </font>
    <font>
      <u/>
      <sz val="10"/>
      <color theme="11"/>
      <name val="Arial"/>
    </font>
    <font>
      <sz val="12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2"/>
      <color rgb="FF7030A0"/>
      <name val="Arial"/>
      <family val="2"/>
    </font>
    <font>
      <sz val="12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6">
    <xf numFmtId="0" fontId="0" fillId="0" borderId="0">
      <alignment vertical="top" wrapText="1"/>
    </xf>
    <xf numFmtId="164" fontId="8" fillId="0" borderId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 wrapText="1"/>
    </xf>
    <xf numFmtId="0" fontId="2" fillId="0" borderId="0"/>
    <xf numFmtId="0" fontId="2" fillId="0" borderId="0"/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  <xf numFmtId="0" fontId="23" fillId="0" borderId="0" applyNumberFormat="0" applyFill="0" applyBorder="0" applyAlignment="0" applyProtection="0">
      <alignment vertical="top" wrapText="1"/>
    </xf>
  </cellStyleXfs>
  <cellXfs count="187">
    <xf numFmtId="0" fontId="0" fillId="0" borderId="0" xfId="0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0" xfId="5">
      <alignment vertical="top" wrapText="1"/>
    </xf>
    <xf numFmtId="0" fontId="5" fillId="3" borderId="0" xfId="5" applyFont="1" applyFill="1" applyAlignment="1">
      <alignment vertical="top"/>
    </xf>
    <xf numFmtId="0" fontId="4" fillId="3" borderId="0" xfId="5" applyFont="1" applyFill="1" applyAlignment="1">
      <alignment vertical="top"/>
    </xf>
    <xf numFmtId="0" fontId="4" fillId="3" borderId="0" xfId="5" applyFont="1" applyFill="1">
      <alignment vertical="top" wrapText="1"/>
    </xf>
    <xf numFmtId="0" fontId="4" fillId="3" borderId="0" xfId="4" applyFont="1" applyFill="1" applyAlignment="1" applyProtection="1">
      <alignment vertical="top"/>
    </xf>
    <xf numFmtId="0" fontId="4" fillId="3" borderId="0" xfId="5" applyFont="1" applyFill="1" applyAlignment="1">
      <alignment horizontal="left" vertical="top"/>
    </xf>
    <xf numFmtId="0" fontId="2" fillId="0" borderId="0" xfId="0" applyFont="1">
      <alignment vertical="top" wrapText="1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horizontal="center" vertical="top" wrapText="1"/>
    </xf>
    <xf numFmtId="0" fontId="9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165" fontId="2" fillId="2" borderId="0" xfId="0" applyNumberFormat="1" applyFont="1" applyFill="1" applyAlignment="1">
      <alignment horizontal="center" vertical="top" wrapText="1"/>
    </xf>
    <xf numFmtId="0" fontId="1" fillId="0" borderId="0" xfId="0" applyNumberFormat="1" applyFont="1" applyAlignment="1">
      <alignment vertical="top"/>
    </xf>
    <xf numFmtId="0" fontId="10" fillId="0" borderId="0" xfId="0" applyFont="1" applyFill="1" applyBorder="1">
      <alignment vertical="top" wrapText="1"/>
    </xf>
    <xf numFmtId="0" fontId="10" fillId="0" borderId="0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3" xfId="0" applyNumberFormat="1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0" fontId="10" fillId="0" borderId="3" xfId="0" applyFont="1" applyBorder="1" applyAlignment="1">
      <alignment horizontal="center" vertical="top" wrapText="1"/>
    </xf>
    <xf numFmtId="165" fontId="10" fillId="0" borderId="3" xfId="0" applyNumberFormat="1" applyFont="1" applyBorder="1" applyAlignment="1">
      <alignment horizontal="center" vertical="top" wrapText="1"/>
    </xf>
    <xf numFmtId="0" fontId="10" fillId="0" borderId="3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 wrapText="1"/>
    </xf>
    <xf numFmtId="0" fontId="10" fillId="0" borderId="4" xfId="0" applyFont="1" applyBorder="1">
      <alignment vertical="top" wrapText="1"/>
    </xf>
    <xf numFmtId="14" fontId="10" fillId="0" borderId="4" xfId="0" applyNumberFormat="1" applyFont="1" applyBorder="1">
      <alignment vertical="top" wrapText="1"/>
    </xf>
    <xf numFmtId="0" fontId="10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horizontal="center" vertical="top" wrapText="1"/>
    </xf>
    <xf numFmtId="165" fontId="10" fillId="0" borderId="4" xfId="0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165" fontId="10" fillId="0" borderId="0" xfId="0" applyNumberFormat="1" applyFont="1" applyAlignment="1">
      <alignment horizontal="center" vertical="top" wrapText="1"/>
    </xf>
    <xf numFmtId="0" fontId="10" fillId="0" borderId="6" xfId="0" applyNumberFormat="1" applyFont="1" applyBorder="1" applyAlignment="1">
      <alignment horizontal="left" vertical="top"/>
    </xf>
    <xf numFmtId="0" fontId="7" fillId="0" borderId="7" xfId="0" applyNumberFormat="1" applyFont="1" applyBorder="1" applyAlignment="1">
      <alignment horizontal="left" wrapText="1"/>
    </xf>
    <xf numFmtId="0" fontId="7" fillId="0" borderId="0" xfId="0" applyFont="1" applyFill="1" applyBorder="1" applyAlignment="1">
      <alignment horizontal="left" vertical="center"/>
    </xf>
    <xf numFmtId="0" fontId="10" fillId="0" borderId="8" xfId="0" applyNumberFormat="1" applyFont="1" applyBorder="1" applyAlignment="1">
      <alignment horizontal="left" wrapText="1"/>
    </xf>
    <xf numFmtId="0" fontId="7" fillId="0" borderId="0" xfId="0" applyNumberFormat="1" applyFont="1" applyBorder="1" applyAlignment="1">
      <alignment horizontal="left" wrapText="1"/>
    </xf>
    <xf numFmtId="0" fontId="10" fillId="0" borderId="0" xfId="0" applyNumberFormat="1" applyFont="1" applyBorder="1" applyAlignment="1">
      <alignment horizontal="left" wrapText="1"/>
    </xf>
    <xf numFmtId="0" fontId="10" fillId="0" borderId="0" xfId="0" applyFont="1" applyBorder="1" applyAlignment="1">
      <alignment horizontal="center" vertical="top" wrapText="1"/>
    </xf>
    <xf numFmtId="0" fontId="10" fillId="0" borderId="0" xfId="0" applyFont="1" applyFill="1" applyBorder="1" applyAlignment="1">
      <alignment vertical="center" wrapText="1"/>
    </xf>
    <xf numFmtId="0" fontId="10" fillId="4" borderId="0" xfId="0" applyFont="1" applyFill="1" applyBorder="1" applyAlignment="1">
      <alignment vertical="top" wrapText="1"/>
    </xf>
    <xf numFmtId="165" fontId="10" fillId="0" borderId="0" xfId="0" applyNumberFormat="1" applyFont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4" fillId="3" borderId="0" xfId="5" applyFont="1" applyFill="1" applyAlignment="1">
      <alignment vertical="top" wrapText="1"/>
    </xf>
    <xf numFmtId="0" fontId="11" fillId="0" borderId="4" xfId="0" applyFont="1" applyFill="1" applyBorder="1" applyAlignment="1">
      <alignment horizontal="center" vertical="top" wrapText="1"/>
    </xf>
    <xf numFmtId="0" fontId="13" fillId="9" borderId="0" xfId="4" applyFont="1" applyFill="1" applyAlignment="1" applyProtection="1">
      <alignment vertical="center"/>
    </xf>
    <xf numFmtId="0" fontId="14" fillId="9" borderId="0" xfId="7" applyFont="1" applyFill="1" applyAlignment="1">
      <alignment vertical="center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top" wrapText="1"/>
    </xf>
    <xf numFmtId="0" fontId="18" fillId="5" borderId="3" xfId="0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8" fillId="0" borderId="0" xfId="0" applyFont="1">
      <alignment vertical="top" wrapText="1"/>
    </xf>
    <xf numFmtId="14" fontId="2" fillId="0" borderId="0" xfId="5" applyNumberFormat="1">
      <alignment vertical="top" wrapText="1"/>
    </xf>
    <xf numFmtId="0" fontId="17" fillId="5" borderId="3" xfId="0" applyFont="1" applyFill="1" applyBorder="1" applyAlignment="1">
      <alignment vertical="top" wrapText="1"/>
    </xf>
    <xf numFmtId="0" fontId="15" fillId="2" borderId="0" xfId="0" applyFont="1" applyFill="1" applyAlignment="1">
      <alignment vertical="top" wrapText="1"/>
    </xf>
    <xf numFmtId="0" fontId="7" fillId="0" borderId="7" xfId="0" applyNumberFormat="1" applyFont="1" applyBorder="1" applyAlignment="1">
      <alignment wrapText="1"/>
    </xf>
    <xf numFmtId="0" fontId="7" fillId="0" borderId="7" xfId="0" applyNumberFormat="1" applyFont="1" applyBorder="1" applyAlignment="1"/>
    <xf numFmtId="0" fontId="15" fillId="2" borderId="0" xfId="0" applyFont="1" applyFill="1" applyAlignment="1">
      <alignment vertical="top"/>
    </xf>
    <xf numFmtId="0" fontId="16" fillId="6" borderId="3" xfId="0" applyFont="1" applyFill="1" applyBorder="1" applyAlignment="1">
      <alignment horizontal="center" vertical="center" wrapText="1"/>
    </xf>
    <xf numFmtId="16" fontId="16" fillId="7" borderId="3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5" fontId="17" fillId="11" borderId="5" xfId="0" applyNumberFormat="1" applyFont="1" applyFill="1" applyBorder="1" applyAlignment="1" applyProtection="1">
      <alignment horizontal="center" vertical="center" wrapText="1"/>
    </xf>
    <xf numFmtId="0" fontId="1" fillId="11" borderId="13" xfId="0" applyNumberFormat="1" applyFont="1" applyFill="1" applyBorder="1" applyAlignment="1" applyProtection="1">
      <alignment vertical="center"/>
      <protection locked="0"/>
    </xf>
    <xf numFmtId="0" fontId="1" fillId="11" borderId="14" xfId="0" applyNumberFormat="1" applyFont="1" applyFill="1" applyBorder="1" applyAlignment="1" applyProtection="1">
      <alignment vertical="center"/>
      <protection locked="0"/>
    </xf>
    <xf numFmtId="0" fontId="1" fillId="11" borderId="15" xfId="0" applyFont="1" applyFill="1" applyBorder="1" applyAlignment="1" applyProtection="1">
      <alignment horizontal="center" vertical="center" wrapText="1"/>
      <protection locked="0"/>
    </xf>
    <xf numFmtId="0" fontId="4" fillId="3" borderId="0" xfId="5" applyFont="1" applyFill="1" applyAlignment="1">
      <alignment horizontal="centerContinuous" vertical="top" wrapText="1"/>
    </xf>
    <xf numFmtId="0" fontId="19" fillId="6" borderId="3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Continuous" vertical="center"/>
    </xf>
    <xf numFmtId="0" fontId="20" fillId="0" borderId="2" xfId="0" applyFont="1" applyBorder="1" applyAlignment="1">
      <alignment horizontal="centerContinuous" vertical="center"/>
    </xf>
    <xf numFmtId="16" fontId="19" fillId="7" borderId="3" xfId="0" applyNumberFormat="1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Continuous" vertical="center" wrapText="1"/>
    </xf>
    <xf numFmtId="0" fontId="20" fillId="0" borderId="2" xfId="0" applyFont="1" applyBorder="1" applyAlignment="1">
      <alignment horizontal="centerContinuous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center" vertical="center" wrapText="1"/>
    </xf>
    <xf numFmtId="0" fontId="20" fillId="0" borderId="0" xfId="5" applyFont="1">
      <alignment vertical="top" wrapText="1"/>
    </xf>
    <xf numFmtId="165" fontId="20" fillId="0" borderId="0" xfId="0" applyNumberFormat="1" applyFont="1" applyAlignment="1">
      <alignment horizontal="centerContinuous" vertical="center" wrapText="1"/>
    </xf>
    <xf numFmtId="165" fontId="20" fillId="0" borderId="0" xfId="0" applyNumberFormat="1" applyFont="1" applyAlignment="1">
      <alignment horizontal="center" vertical="top" wrapText="1"/>
    </xf>
    <xf numFmtId="0" fontId="21" fillId="12" borderId="0" xfId="0" applyFont="1" applyFill="1" applyAlignment="1">
      <alignment vertical="top"/>
    </xf>
    <xf numFmtId="0" fontId="2" fillId="0" borderId="0" xfId="5" applyFont="1">
      <alignment vertical="top" wrapText="1"/>
    </xf>
    <xf numFmtId="0" fontId="17" fillId="9" borderId="1" xfId="0" applyFont="1" applyFill="1" applyBorder="1" applyAlignment="1">
      <alignment horizontal="centerContinuous" vertical="center" wrapText="1"/>
    </xf>
    <xf numFmtId="0" fontId="17" fillId="9" borderId="1" xfId="0" applyFont="1" applyFill="1" applyBorder="1" applyAlignment="1">
      <alignment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vertical="top" wrapText="1"/>
    </xf>
    <xf numFmtId="165" fontId="18" fillId="9" borderId="1" xfId="0" applyNumberFormat="1" applyFont="1" applyFill="1" applyBorder="1" applyAlignment="1">
      <alignment vertical="top" wrapText="1"/>
    </xf>
    <xf numFmtId="0" fontId="18" fillId="11" borderId="16" xfId="0" applyFont="1" applyFill="1" applyBorder="1" applyAlignment="1" applyProtection="1">
      <alignment vertical="top" wrapText="1"/>
    </xf>
    <xf numFmtId="0" fontId="17" fillId="11" borderId="6" xfId="0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0" fillId="13" borderId="3" xfId="0" applyNumberFormat="1" applyFont="1" applyFill="1" applyBorder="1" applyAlignment="1">
      <alignment vertical="top"/>
    </xf>
    <xf numFmtId="0" fontId="10" fillId="13" borderId="3" xfId="0" applyFont="1" applyFill="1" applyBorder="1" applyAlignment="1">
      <alignment horizontal="left" vertical="top" wrapText="1"/>
    </xf>
    <xf numFmtId="0" fontId="10" fillId="13" borderId="3" xfId="0" applyFont="1" applyFill="1" applyBorder="1" applyAlignment="1">
      <alignment horizontal="center" vertical="top" wrapText="1"/>
    </xf>
    <xf numFmtId="165" fontId="10" fillId="13" borderId="4" xfId="0" applyNumberFormat="1" applyFont="1" applyFill="1" applyBorder="1" applyAlignment="1">
      <alignment horizontal="center" vertical="top" wrapText="1"/>
    </xf>
    <xf numFmtId="165" fontId="10" fillId="13" borderId="3" xfId="0" applyNumberFormat="1" applyFont="1" applyFill="1" applyBorder="1" applyAlignment="1">
      <alignment horizontal="center" vertical="top" wrapText="1"/>
    </xf>
    <xf numFmtId="0" fontId="10" fillId="13" borderId="3" xfId="0" applyFont="1" applyFill="1" applyBorder="1" applyAlignment="1" applyProtection="1">
      <alignment horizontal="center" vertical="top" wrapText="1"/>
    </xf>
    <xf numFmtId="0" fontId="7" fillId="13" borderId="3" xfId="0" applyFont="1" applyFill="1" applyBorder="1" applyAlignment="1" applyProtection="1">
      <alignment horizontal="center" vertical="top" wrapText="1"/>
    </xf>
    <xf numFmtId="0" fontId="10" fillId="13" borderId="3" xfId="0" applyFont="1" applyFill="1" applyBorder="1" applyAlignment="1">
      <alignment vertical="top" wrapText="1"/>
    </xf>
    <xf numFmtId="0" fontId="10" fillId="13" borderId="4" xfId="0" applyFont="1" applyFill="1" applyBorder="1" applyAlignment="1">
      <alignment vertical="top" wrapText="1"/>
    </xf>
    <xf numFmtId="16" fontId="10" fillId="13" borderId="4" xfId="0" applyNumberFormat="1" applyFont="1" applyFill="1" applyBorder="1" applyAlignment="1">
      <alignment vertical="top" wrapText="1"/>
    </xf>
    <xf numFmtId="0" fontId="10" fillId="9" borderId="0" xfId="0" applyFont="1" applyFill="1" applyBorder="1">
      <alignment vertical="top" wrapText="1"/>
    </xf>
    <xf numFmtId="0" fontId="17" fillId="14" borderId="11" xfId="0" applyFont="1" applyFill="1" applyBorder="1" applyAlignment="1">
      <alignment horizontal="centerContinuous" vertical="center" wrapText="1"/>
    </xf>
    <xf numFmtId="0" fontId="17" fillId="14" borderId="11" xfId="0" applyFont="1" applyFill="1" applyBorder="1" applyAlignment="1">
      <alignment horizontal="center" vertical="center" wrapText="1"/>
    </xf>
    <xf numFmtId="165" fontId="17" fillId="14" borderId="11" xfId="0" applyNumberFormat="1" applyFont="1" applyFill="1" applyBorder="1" applyAlignment="1">
      <alignment horizontal="center" vertical="center" wrapText="1"/>
    </xf>
    <xf numFmtId="165" fontId="17" fillId="14" borderId="11" xfId="0" applyNumberFormat="1" applyFont="1" applyFill="1" applyBorder="1" applyAlignment="1">
      <alignment vertical="center" wrapText="1"/>
    </xf>
    <xf numFmtId="0" fontId="17" fillId="14" borderId="11" xfId="0" applyFont="1" applyFill="1" applyBorder="1" applyAlignment="1" applyProtection="1">
      <alignment horizontal="center" vertical="center" wrapText="1"/>
    </xf>
    <xf numFmtId="0" fontId="1" fillId="14" borderId="12" xfId="0" applyFont="1" applyFill="1" applyBorder="1" applyAlignment="1" applyProtection="1">
      <alignment vertical="center" wrapText="1"/>
    </xf>
    <xf numFmtId="0" fontId="1" fillId="14" borderId="9" xfId="0" applyFont="1" applyFill="1" applyBorder="1" applyAlignment="1">
      <alignment vertical="top" wrapText="1"/>
    </xf>
    <xf numFmtId="0" fontId="17" fillId="14" borderId="9" xfId="0" applyFont="1" applyFill="1" applyBorder="1" applyAlignment="1">
      <alignment vertical="top" wrapText="1"/>
    </xf>
    <xf numFmtId="0" fontId="10" fillId="13" borderId="3" xfId="0" applyNumberFormat="1" applyFont="1" applyFill="1" applyBorder="1" applyAlignment="1">
      <alignment horizontal="right" vertical="top"/>
    </xf>
    <xf numFmtId="0" fontId="10" fillId="0" borderId="3" xfId="0" applyNumberFormat="1" applyFont="1" applyBorder="1" applyAlignment="1">
      <alignment horizontal="right" vertical="top"/>
    </xf>
    <xf numFmtId="0" fontId="10" fillId="0" borderId="4" xfId="0" applyNumberFormat="1" applyFont="1" applyBorder="1" applyAlignment="1">
      <alignment horizontal="right" vertical="top"/>
    </xf>
    <xf numFmtId="0" fontId="10" fillId="0" borderId="4" xfId="0" applyFont="1" applyBorder="1" applyAlignment="1">
      <alignment horizontal="right" vertical="top" wrapText="1"/>
    </xf>
    <xf numFmtId="165" fontId="10" fillId="9" borderId="4" xfId="0" applyNumberFormat="1" applyFont="1" applyFill="1" applyBorder="1" applyAlignment="1">
      <alignment horizontal="center" vertical="top" wrapText="1"/>
    </xf>
    <xf numFmtId="0" fontId="7" fillId="11" borderId="3" xfId="0" applyFont="1" applyFill="1" applyBorder="1" applyAlignment="1" applyProtection="1">
      <alignment horizontal="center" vertical="top" wrapText="1"/>
    </xf>
    <xf numFmtId="0" fontId="10" fillId="11" borderId="3" xfId="0" applyFont="1" applyFill="1" applyBorder="1" applyAlignment="1" applyProtection="1">
      <alignment horizontal="center" vertical="top" wrapText="1"/>
    </xf>
    <xf numFmtId="0" fontId="17" fillId="15" borderId="19" xfId="0" applyFont="1" applyFill="1" applyBorder="1" applyAlignment="1">
      <alignment horizontal="center" vertical="center" wrapText="1"/>
    </xf>
    <xf numFmtId="0" fontId="17" fillId="15" borderId="17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vertical="top"/>
    </xf>
    <xf numFmtId="0" fontId="10" fillId="16" borderId="20" xfId="0" applyFont="1" applyFill="1" applyBorder="1" applyAlignment="1">
      <alignment horizontal="left" vertical="top" wrapText="1"/>
    </xf>
    <xf numFmtId="0" fontId="10" fillId="16" borderId="20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/>
    </xf>
    <xf numFmtId="0" fontId="10" fillId="0" borderId="20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center" vertical="top" wrapText="1"/>
    </xf>
    <xf numFmtId="0" fontId="10" fillId="0" borderId="3" xfId="0" applyFont="1" applyBorder="1">
      <alignment vertical="top" wrapText="1"/>
    </xf>
    <xf numFmtId="0" fontId="10" fillId="0" borderId="20" xfId="0" applyFont="1" applyBorder="1">
      <alignment vertical="top" wrapText="1"/>
    </xf>
    <xf numFmtId="0" fontId="22" fillId="3" borderId="0" xfId="5" applyFont="1" applyFill="1" applyAlignment="1">
      <alignment vertical="top" wrapText="1"/>
    </xf>
    <xf numFmtId="0" fontId="6" fillId="4" borderId="0" xfId="0" applyFont="1" applyFill="1" applyBorder="1" applyAlignment="1">
      <alignment horizontal="center" vertical="top" wrapText="1"/>
    </xf>
    <xf numFmtId="0" fontId="10" fillId="4" borderId="0" xfId="0" applyFont="1" applyFill="1" applyBorder="1" applyAlignment="1">
      <alignment vertical="top" wrapText="1"/>
    </xf>
    <xf numFmtId="0" fontId="7" fillId="0" borderId="0" xfId="0" applyNumberFormat="1" applyFont="1" applyBorder="1" applyAlignment="1">
      <alignment horizontal="left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65" fontId="10" fillId="0" borderId="17" xfId="0" applyNumberFormat="1" applyFont="1" applyBorder="1" applyAlignment="1">
      <alignment horizontal="center" vertical="center" wrapText="1"/>
    </xf>
    <xf numFmtId="0" fontId="17" fillId="15" borderId="18" xfId="0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horizontal="center" vertical="center" wrapText="1"/>
    </xf>
    <xf numFmtId="0" fontId="10" fillId="13" borderId="4" xfId="0" applyNumberFormat="1" applyFont="1" applyFill="1" applyBorder="1" applyAlignment="1">
      <alignment horizontal="right" vertical="top"/>
    </xf>
    <xf numFmtId="0" fontId="10" fillId="13" borderId="4" xfId="0" applyNumberFormat="1" applyFont="1" applyFill="1" applyBorder="1" applyAlignment="1">
      <alignment vertical="top"/>
    </xf>
    <xf numFmtId="0" fontId="10" fillId="13" borderId="4" xfId="0" applyFont="1" applyFill="1" applyBorder="1" applyAlignment="1">
      <alignment horizontal="left" vertical="top" wrapText="1"/>
    </xf>
    <xf numFmtId="0" fontId="10" fillId="13" borderId="4" xfId="0" applyFont="1" applyFill="1" applyBorder="1" applyAlignment="1">
      <alignment horizontal="center" vertical="top" wrapText="1"/>
    </xf>
    <xf numFmtId="0" fontId="10" fillId="13" borderId="4" xfId="0" applyFont="1" applyFill="1" applyBorder="1" applyAlignment="1" applyProtection="1">
      <alignment horizontal="center" vertical="top" wrapText="1"/>
    </xf>
    <xf numFmtId="0" fontId="7" fillId="13" borderId="4" xfId="0" applyFont="1" applyFill="1" applyBorder="1" applyAlignment="1" applyProtection="1">
      <alignment horizontal="center" vertical="top" wrapText="1"/>
    </xf>
    <xf numFmtId="0" fontId="10" fillId="9" borderId="4" xfId="0" applyFont="1" applyFill="1" applyBorder="1">
      <alignment vertical="top" wrapText="1"/>
    </xf>
    <xf numFmtId="0" fontId="24" fillId="13" borderId="4" xfId="0" applyNumberFormat="1" applyFont="1" applyFill="1" applyBorder="1" applyAlignment="1">
      <alignment vertical="top"/>
    </xf>
    <xf numFmtId="0" fontId="25" fillId="15" borderId="18" xfId="0" applyFont="1" applyFill="1" applyBorder="1" applyAlignment="1">
      <alignment horizontal="center" vertical="center" wrapText="1"/>
    </xf>
    <xf numFmtId="0" fontId="24" fillId="0" borderId="3" xfId="0" applyNumberFormat="1" applyFont="1" applyBorder="1" applyAlignment="1">
      <alignment vertical="top"/>
    </xf>
    <xf numFmtId="0" fontId="26" fillId="0" borderId="0" xfId="0" applyFont="1">
      <alignment vertical="top" wrapText="1"/>
    </xf>
    <xf numFmtId="0" fontId="10" fillId="9" borderId="3" xfId="0" applyFont="1" applyFill="1" applyBorder="1" applyAlignment="1">
      <alignment horizontal="left" vertical="top" wrapText="1"/>
    </xf>
    <xf numFmtId="0" fontId="27" fillId="13" borderId="3" xfId="0" applyNumberFormat="1" applyFont="1" applyFill="1" applyBorder="1" applyAlignment="1">
      <alignment vertical="top"/>
    </xf>
    <xf numFmtId="0" fontId="27" fillId="0" borderId="3" xfId="0" applyNumberFormat="1" applyFont="1" applyBorder="1" applyAlignment="1">
      <alignment vertical="top"/>
    </xf>
    <xf numFmtId="0" fontId="10" fillId="18" borderId="3" xfId="0" applyNumberFormat="1" applyFont="1" applyFill="1" applyBorder="1" applyAlignment="1">
      <alignment horizontal="right" vertical="top"/>
    </xf>
    <xf numFmtId="0" fontId="10" fillId="18" borderId="3" xfId="0" applyNumberFormat="1" applyFont="1" applyFill="1" applyBorder="1" applyAlignment="1">
      <alignment vertical="top"/>
    </xf>
    <xf numFmtId="0" fontId="10" fillId="18" borderId="3" xfId="0" applyFont="1" applyFill="1" applyBorder="1" applyAlignment="1">
      <alignment horizontal="left" vertical="top" wrapText="1"/>
    </xf>
    <xf numFmtId="0" fontId="10" fillId="18" borderId="3" xfId="0" applyFont="1" applyFill="1" applyBorder="1" applyAlignment="1">
      <alignment horizontal="center" vertical="top" wrapText="1"/>
    </xf>
    <xf numFmtId="165" fontId="10" fillId="18" borderId="4" xfId="0" applyNumberFormat="1" applyFont="1" applyFill="1" applyBorder="1" applyAlignment="1">
      <alignment horizontal="center" vertical="top" wrapText="1"/>
    </xf>
    <xf numFmtId="165" fontId="10" fillId="18" borderId="3" xfId="0" applyNumberFormat="1" applyFont="1" applyFill="1" applyBorder="1" applyAlignment="1">
      <alignment horizontal="center" vertical="top" wrapText="1"/>
    </xf>
    <xf numFmtId="0" fontId="10" fillId="18" borderId="3" xfId="0" applyFont="1" applyFill="1" applyBorder="1" applyAlignment="1" applyProtection="1">
      <alignment horizontal="center" vertical="top" wrapText="1"/>
    </xf>
    <xf numFmtId="0" fontId="7" fillId="18" borderId="3" xfId="0" applyFont="1" applyFill="1" applyBorder="1" applyAlignment="1" applyProtection="1">
      <alignment horizontal="center" vertical="top" wrapText="1"/>
    </xf>
    <xf numFmtId="0" fontId="10" fillId="18" borderId="3" xfId="0" applyFont="1" applyFill="1" applyBorder="1" applyAlignment="1">
      <alignment vertical="top" wrapText="1"/>
    </xf>
    <xf numFmtId="0" fontId="10" fillId="18" borderId="4" xfId="0" applyFont="1" applyFill="1" applyBorder="1" applyAlignment="1">
      <alignment vertical="top" wrapText="1"/>
    </xf>
    <xf numFmtId="16" fontId="10" fillId="18" borderId="4" xfId="0" applyNumberFormat="1" applyFont="1" applyFill="1" applyBorder="1" applyAlignment="1">
      <alignment vertical="top" wrapText="1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left" wrapText="1"/>
    </xf>
    <xf numFmtId="0" fontId="10" fillId="17" borderId="4" xfId="0" applyNumberFormat="1" applyFont="1" applyFill="1" applyBorder="1" applyAlignment="1">
      <alignment vertical="top"/>
    </xf>
    <xf numFmtId="0" fontId="10" fillId="17" borderId="4" xfId="0" applyFont="1" applyFill="1" applyBorder="1" applyAlignment="1">
      <alignment horizontal="left" vertical="top" wrapText="1"/>
    </xf>
    <xf numFmtId="0" fontId="10" fillId="17" borderId="4" xfId="0" applyFont="1" applyFill="1" applyBorder="1" applyAlignment="1">
      <alignment horizontal="center" vertical="top" wrapText="1"/>
    </xf>
    <xf numFmtId="165" fontId="10" fillId="17" borderId="4" xfId="0" applyNumberFormat="1" applyFont="1" applyFill="1" applyBorder="1" applyAlignment="1">
      <alignment horizontal="center" vertical="top" wrapText="1"/>
    </xf>
    <xf numFmtId="0" fontId="10" fillId="17" borderId="3" xfId="0" applyFont="1" applyFill="1" applyBorder="1" applyAlignment="1" applyProtection="1">
      <alignment horizontal="center" vertical="top" wrapText="1"/>
    </xf>
    <xf numFmtId="0" fontId="7" fillId="17" borderId="3" xfId="0" applyFont="1" applyFill="1" applyBorder="1" applyAlignment="1" applyProtection="1">
      <alignment horizontal="center" vertical="top" wrapText="1"/>
    </xf>
    <xf numFmtId="0" fontId="11" fillId="17" borderId="4" xfId="0" applyFont="1" applyFill="1" applyBorder="1" applyAlignment="1">
      <alignment horizontal="center" vertical="top" wrapText="1"/>
    </xf>
    <xf numFmtId="0" fontId="10" fillId="17" borderId="4" xfId="0" applyFont="1" applyFill="1" applyBorder="1" applyAlignment="1">
      <alignment vertical="top" wrapText="1"/>
    </xf>
    <xf numFmtId="0" fontId="10" fillId="17" borderId="0" xfId="0" applyFont="1" applyFill="1" applyBorder="1">
      <alignment vertical="top" wrapText="1"/>
    </xf>
    <xf numFmtId="0" fontId="10" fillId="17" borderId="4" xfId="0" applyFont="1" applyFill="1" applyBorder="1">
      <alignment vertical="top" wrapText="1"/>
    </xf>
    <xf numFmtId="0" fontId="27" fillId="0" borderId="4" xfId="0" applyFont="1" applyBorder="1">
      <alignment vertical="top" wrapText="1"/>
    </xf>
    <xf numFmtId="0" fontId="27" fillId="0" borderId="4" xfId="0" applyNumberFormat="1" applyFont="1" applyBorder="1" applyAlignment="1">
      <alignment vertical="top"/>
    </xf>
    <xf numFmtId="0" fontId="10" fillId="9" borderId="4" xfId="0" applyNumberFormat="1" applyFont="1" applyFill="1" applyBorder="1" applyAlignment="1">
      <alignment vertical="top"/>
    </xf>
    <xf numFmtId="0" fontId="10" fillId="9" borderId="4" xfId="0" applyFont="1" applyFill="1" applyBorder="1" applyAlignment="1">
      <alignment horizontal="left" vertical="top" wrapText="1"/>
    </xf>
    <xf numFmtId="0" fontId="10" fillId="9" borderId="4" xfId="0" applyFont="1" applyFill="1" applyBorder="1" applyAlignment="1">
      <alignment horizontal="center" vertical="top" wrapText="1"/>
    </xf>
    <xf numFmtId="0" fontId="10" fillId="9" borderId="3" xfId="0" applyFont="1" applyFill="1" applyBorder="1" applyAlignment="1" applyProtection="1">
      <alignment horizontal="center" vertical="top" wrapText="1"/>
    </xf>
    <xf numFmtId="0" fontId="7" fillId="9" borderId="3" xfId="0" applyFont="1" applyFill="1" applyBorder="1" applyAlignment="1" applyProtection="1">
      <alignment horizontal="center" vertical="top" wrapText="1"/>
    </xf>
    <xf numFmtId="0" fontId="11" fillId="9" borderId="4" xfId="0" applyFont="1" applyFill="1" applyBorder="1" applyAlignment="1">
      <alignment horizontal="center" vertical="top" wrapText="1"/>
    </xf>
    <xf numFmtId="0" fontId="10" fillId="9" borderId="4" xfId="0" applyFont="1" applyFill="1" applyBorder="1" applyAlignment="1">
      <alignment vertical="top" wrapText="1"/>
    </xf>
  </cellXfs>
  <cellStyles count="46">
    <cellStyle name="Brand Default" xfId="1"/>
    <cellStyle name="Comma 2" xfId="2"/>
    <cellStyle name="Currency 2" xfId="3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Hyperlink" xfId="4" builtinId="8"/>
    <cellStyle name="Normal" xfId="0" builtinId="0"/>
    <cellStyle name="Normal 2" xfId="5"/>
    <cellStyle name="Normal 3" xfId="6"/>
    <cellStyle name="Normal_Plane Techs Timeline" xfId="7"/>
  </cellStyles>
  <dxfs count="835"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660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62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7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62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7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62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7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62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7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62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7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62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condense val="0"/>
        <extend val="0"/>
        <color indexed="9"/>
      </font>
      <fill>
        <patternFill>
          <bgColor indexed="17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>
    <pageSetUpPr fitToPage="1"/>
  </sheetPr>
  <dimension ref="B1:N31"/>
  <sheetViews>
    <sheetView showGridLines="0" zoomScale="75" zoomScaleNormal="75" zoomScalePageLayoutView="75" workbookViewId="0">
      <selection activeCell="H23" sqref="H23"/>
    </sheetView>
  </sheetViews>
  <sheetFormatPr defaultColWidth="8.85546875" defaultRowHeight="12.75" x14ac:dyDescent="0.2"/>
  <cols>
    <col min="1" max="1" width="1.42578125" style="5" customWidth="1"/>
    <col min="2" max="2" width="11.85546875" style="5" customWidth="1"/>
    <col min="3" max="3" width="25.140625" style="5" customWidth="1"/>
    <col min="4" max="13" width="8.85546875" style="5"/>
    <col min="14" max="14" width="7.7109375" style="5" customWidth="1"/>
    <col min="15" max="16384" width="8.85546875" style="5"/>
  </cols>
  <sheetData>
    <row r="1" spans="2:14" s="84" customFormat="1" ht="22.5" customHeight="1" x14ac:dyDescent="0.2">
      <c r="B1" s="83" t="s">
        <v>54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2:14" x14ac:dyDescent="0.2">
      <c r="B2" s="6"/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ht="26.25" customHeight="1" x14ac:dyDescent="0.2">
      <c r="B3" s="129" t="s">
        <v>57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2:14" x14ac:dyDescent="0.2"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">
      <c r="B5" s="6" t="s">
        <v>36</v>
      </c>
      <c r="C5" s="6" t="s">
        <v>49</v>
      </c>
      <c r="D5" s="7"/>
      <c r="E5" s="8"/>
      <c r="F5" s="8"/>
      <c r="G5" s="8"/>
      <c r="H5" s="8"/>
      <c r="I5" s="8"/>
      <c r="J5" s="8"/>
      <c r="K5" s="8"/>
      <c r="L5" s="8"/>
      <c r="M5" s="8"/>
      <c r="N5" s="8"/>
    </row>
    <row r="6" spans="2:14" ht="15.75" customHeight="1" x14ac:dyDescent="0.2">
      <c r="B6" s="7" t="s">
        <v>3</v>
      </c>
      <c r="C6" s="7" t="s">
        <v>5</v>
      </c>
      <c r="D6" s="7" t="s">
        <v>39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.75" customHeight="1" x14ac:dyDescent="0.2">
      <c r="B7" s="10" t="s">
        <v>6</v>
      </c>
      <c r="C7" s="7" t="s">
        <v>28</v>
      </c>
      <c r="D7" s="7" t="s">
        <v>40</v>
      </c>
      <c r="E7" s="7"/>
      <c r="F7" s="8"/>
      <c r="G7" s="8"/>
      <c r="H7" s="8"/>
      <c r="I7" s="8"/>
      <c r="J7" s="8"/>
      <c r="K7" s="8"/>
      <c r="L7" s="8"/>
      <c r="M7" s="8"/>
      <c r="N7" s="8"/>
    </row>
    <row r="8" spans="2:14" ht="15.75" customHeight="1" x14ac:dyDescent="0.2">
      <c r="B8" s="10" t="s">
        <v>16</v>
      </c>
      <c r="C8" s="7" t="s">
        <v>29</v>
      </c>
      <c r="D8" s="7" t="s">
        <v>41</v>
      </c>
      <c r="E8" s="7"/>
      <c r="F8" s="8"/>
      <c r="G8" s="8"/>
      <c r="H8" s="8"/>
      <c r="I8" s="8"/>
      <c r="J8" s="8"/>
      <c r="K8" s="8"/>
      <c r="L8" s="8"/>
      <c r="M8" s="8"/>
      <c r="N8" s="8"/>
    </row>
    <row r="9" spans="2:14" ht="15.75" customHeight="1" x14ac:dyDescent="0.2">
      <c r="B9" s="10" t="s">
        <v>17</v>
      </c>
      <c r="C9" s="9" t="s">
        <v>38</v>
      </c>
      <c r="D9" s="9" t="s">
        <v>37</v>
      </c>
      <c r="E9" s="7"/>
      <c r="F9" s="8"/>
      <c r="G9" s="8"/>
      <c r="H9" s="8"/>
      <c r="I9" s="8"/>
      <c r="J9" s="8"/>
      <c r="K9" s="8"/>
      <c r="L9" s="8"/>
      <c r="M9" s="8"/>
      <c r="N9" s="8"/>
    </row>
    <row r="10" spans="2:14" ht="15.75" customHeight="1" x14ac:dyDescent="0.2">
      <c r="B10" s="10" t="s">
        <v>18</v>
      </c>
      <c r="C10" s="9" t="s">
        <v>27</v>
      </c>
      <c r="D10" s="7" t="s">
        <v>44</v>
      </c>
      <c r="E10" s="7"/>
      <c r="F10" s="8"/>
      <c r="G10" s="8"/>
      <c r="H10" s="8"/>
      <c r="I10" s="8"/>
      <c r="J10" s="8"/>
      <c r="K10" s="8"/>
      <c r="L10" s="8"/>
      <c r="M10" s="8"/>
      <c r="N10" s="8"/>
    </row>
    <row r="11" spans="2:14" ht="15.75" customHeight="1" x14ac:dyDescent="0.2">
      <c r="B11" s="10" t="s">
        <v>10</v>
      </c>
      <c r="C11" s="9" t="s">
        <v>42</v>
      </c>
      <c r="D11" s="7" t="s">
        <v>45</v>
      </c>
      <c r="E11" s="7"/>
      <c r="F11" s="8"/>
      <c r="G11" s="8"/>
      <c r="H11" s="8"/>
      <c r="I11" s="8"/>
      <c r="J11" s="8"/>
      <c r="K11" s="8"/>
      <c r="L11" s="8"/>
      <c r="M11" s="8"/>
      <c r="N11" s="8"/>
    </row>
    <row r="12" spans="2:14" ht="15.75" customHeight="1" x14ac:dyDescent="0.2">
      <c r="B12" s="10" t="s">
        <v>19</v>
      </c>
      <c r="C12" s="46" t="s">
        <v>43</v>
      </c>
      <c r="D12" s="7" t="s">
        <v>46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2:14" ht="15.75" customHeight="1" x14ac:dyDescent="0.2">
      <c r="B13" s="10" t="s">
        <v>47</v>
      </c>
      <c r="C13" s="7" t="s">
        <v>48</v>
      </c>
      <c r="D13" s="7" t="s">
        <v>50</v>
      </c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2:14" ht="15.75" customHeight="1" x14ac:dyDescent="0.2">
      <c r="B14" s="8" t="s">
        <v>51</v>
      </c>
      <c r="C14" s="10" t="s">
        <v>56</v>
      </c>
      <c r="D14" s="10" t="s">
        <v>55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</row>
    <row r="15" spans="2:14" ht="15.75" customHeight="1" x14ac:dyDescent="0.2">
      <c r="B15" s="8"/>
      <c r="C15" s="10"/>
      <c r="D15" s="10" t="s">
        <v>52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</row>
    <row r="18" spans="4:11" ht="12.75" customHeight="1" x14ac:dyDescent="0.2"/>
    <row r="19" spans="4:11" s="80" customFormat="1" ht="24" x14ac:dyDescent="0.2">
      <c r="D19" s="81" t="s">
        <v>53</v>
      </c>
      <c r="E19" s="81"/>
      <c r="F19" s="72" t="s">
        <v>10</v>
      </c>
      <c r="G19" s="73" t="s">
        <v>9</v>
      </c>
      <c r="H19" s="74"/>
      <c r="I19" s="75" t="s">
        <v>12</v>
      </c>
      <c r="J19" s="76" t="s">
        <v>13</v>
      </c>
      <c r="K19" s="77"/>
    </row>
    <row r="20" spans="4:11" s="80" customFormat="1" ht="24" x14ac:dyDescent="0.2">
      <c r="D20" s="82"/>
      <c r="E20" s="82"/>
      <c r="F20" s="78" t="s">
        <v>11</v>
      </c>
      <c r="G20" s="76" t="s">
        <v>34</v>
      </c>
      <c r="H20" s="77"/>
      <c r="I20" s="79" t="s">
        <v>6</v>
      </c>
      <c r="J20" s="76" t="s">
        <v>7</v>
      </c>
      <c r="K20" s="77"/>
    </row>
    <row r="21" spans="4:11" ht="12.75" customHeight="1" x14ac:dyDescent="0.2"/>
    <row r="22" spans="4:11" ht="12.75" customHeight="1" x14ac:dyDescent="0.2"/>
    <row r="23" spans="4:11" ht="12.75" customHeight="1" x14ac:dyDescent="0.2"/>
    <row r="24" spans="4:11" ht="12.75" customHeight="1" x14ac:dyDescent="0.2"/>
    <row r="25" spans="4:11" ht="12.75" customHeight="1" x14ac:dyDescent="0.2"/>
    <row r="27" spans="4:11" ht="12.75" customHeight="1" x14ac:dyDescent="0.2"/>
    <row r="29" spans="4:11" ht="12.75" customHeight="1" x14ac:dyDescent="0.2"/>
    <row r="30" spans="4:11" ht="15" customHeight="1" x14ac:dyDescent="0.2"/>
    <row r="31" spans="4:11" ht="25.5" customHeight="1" x14ac:dyDescent="0.2"/>
  </sheetData>
  <mergeCells count="1">
    <mergeCell ref="B3:N3"/>
  </mergeCells>
  <phoneticPr fontId="0" type="noConversion"/>
  <conditionalFormatting sqref="F19:F20">
    <cfRule type="cellIs" dxfId="834" priority="34" stopIfTrue="1" operator="equal">
      <formula>"c"</formula>
    </cfRule>
    <cfRule type="cellIs" dxfId="833" priority="35" stopIfTrue="1" operator="equal">
      <formula>"ip"</formula>
    </cfRule>
    <cfRule type="cellIs" dxfId="832" priority="36" stopIfTrue="1" operator="equal">
      <formula>"wr"</formula>
    </cfRule>
  </conditionalFormatting>
  <conditionalFormatting sqref="G20">
    <cfRule type="cellIs" dxfId="831" priority="31" stopIfTrue="1" operator="equal">
      <formula>"c"</formula>
    </cfRule>
    <cfRule type="cellIs" dxfId="830" priority="32" stopIfTrue="1" operator="equal">
      <formula>"wt"</formula>
    </cfRule>
    <cfRule type="cellIs" dxfId="829" priority="33" stopIfTrue="1" operator="equal">
      <formula>"wr"</formula>
    </cfRule>
  </conditionalFormatting>
  <conditionalFormatting sqref="F19:F20">
    <cfRule type="cellIs" dxfId="828" priority="28" stopIfTrue="1" operator="equal">
      <formula>"c"</formula>
    </cfRule>
    <cfRule type="cellIs" dxfId="827" priority="29" stopIfTrue="1" operator="equal">
      <formula>"ip"</formula>
    </cfRule>
    <cfRule type="cellIs" dxfId="826" priority="30" stopIfTrue="1" operator="equal">
      <formula>"wr"</formula>
    </cfRule>
  </conditionalFormatting>
  <conditionalFormatting sqref="G20">
    <cfRule type="cellIs" dxfId="825" priority="25" stopIfTrue="1" operator="equal">
      <formula>"c"</formula>
    </cfRule>
    <cfRule type="cellIs" dxfId="824" priority="26" stopIfTrue="1" operator="equal">
      <formula>"wt"</formula>
    </cfRule>
    <cfRule type="cellIs" dxfId="823" priority="27" stopIfTrue="1" operator="equal">
      <formula>"wr"</formula>
    </cfRule>
  </conditionalFormatting>
  <conditionalFormatting sqref="F19:F20">
    <cfRule type="cellIs" dxfId="822" priority="22" stopIfTrue="1" operator="equal">
      <formula>"c"</formula>
    </cfRule>
    <cfRule type="cellIs" dxfId="821" priority="23" stopIfTrue="1" operator="equal">
      <formula>"ip"</formula>
    </cfRule>
    <cfRule type="cellIs" dxfId="820" priority="24" stopIfTrue="1" operator="equal">
      <formula>"wr"</formula>
    </cfRule>
  </conditionalFormatting>
  <conditionalFormatting sqref="G20">
    <cfRule type="cellIs" dxfId="819" priority="19" stopIfTrue="1" operator="equal">
      <formula>"c"</formula>
    </cfRule>
    <cfRule type="cellIs" dxfId="818" priority="20" stopIfTrue="1" operator="equal">
      <formula>"wt"</formula>
    </cfRule>
    <cfRule type="cellIs" dxfId="817" priority="21" stopIfTrue="1" operator="equal">
      <formula>"wr"</formula>
    </cfRule>
  </conditionalFormatting>
  <conditionalFormatting sqref="J20">
    <cfRule type="cellIs" dxfId="816" priority="16" stopIfTrue="1" operator="equal">
      <formula>"c"</formula>
    </cfRule>
    <cfRule type="cellIs" dxfId="815" priority="17" stopIfTrue="1" operator="equal">
      <formula>"wt"</formula>
    </cfRule>
    <cfRule type="cellIs" dxfId="814" priority="18" stopIfTrue="1" operator="equal">
      <formula>"wr"</formula>
    </cfRule>
  </conditionalFormatting>
  <conditionalFormatting sqref="J20">
    <cfRule type="cellIs" dxfId="813" priority="13" stopIfTrue="1" operator="equal">
      <formula>"c"</formula>
    </cfRule>
    <cfRule type="cellIs" dxfId="812" priority="14" stopIfTrue="1" operator="equal">
      <formula>"wt"</formula>
    </cfRule>
    <cfRule type="cellIs" dxfId="811" priority="15" stopIfTrue="1" operator="equal">
      <formula>"wr"</formula>
    </cfRule>
  </conditionalFormatting>
  <conditionalFormatting sqref="J20">
    <cfRule type="cellIs" dxfId="810" priority="10" stopIfTrue="1" operator="equal">
      <formula>"c"</formula>
    </cfRule>
    <cfRule type="cellIs" dxfId="809" priority="11" stopIfTrue="1" operator="equal">
      <formula>"wt"</formula>
    </cfRule>
    <cfRule type="cellIs" dxfId="808" priority="12" stopIfTrue="1" operator="equal">
      <formula>"wr"</formula>
    </cfRule>
  </conditionalFormatting>
  <conditionalFormatting sqref="J19">
    <cfRule type="cellIs" dxfId="807" priority="7" stopIfTrue="1" operator="equal">
      <formula>"c"</formula>
    </cfRule>
    <cfRule type="cellIs" dxfId="806" priority="8" stopIfTrue="1" operator="equal">
      <formula>"wt"</formula>
    </cfRule>
    <cfRule type="cellIs" dxfId="805" priority="9" stopIfTrue="1" operator="equal">
      <formula>"wr"</formula>
    </cfRule>
  </conditionalFormatting>
  <conditionalFormatting sqref="J19">
    <cfRule type="cellIs" dxfId="804" priority="4" stopIfTrue="1" operator="equal">
      <formula>"c"</formula>
    </cfRule>
    <cfRule type="cellIs" dxfId="803" priority="5" stopIfTrue="1" operator="equal">
      <formula>"wt"</formula>
    </cfRule>
    <cfRule type="cellIs" dxfId="802" priority="6" stopIfTrue="1" operator="equal">
      <formula>"wr"</formula>
    </cfRule>
  </conditionalFormatting>
  <conditionalFormatting sqref="J19">
    <cfRule type="cellIs" dxfId="801" priority="1" stopIfTrue="1" operator="equal">
      <formula>"c"</formula>
    </cfRule>
    <cfRule type="cellIs" dxfId="800" priority="2" stopIfTrue="1" operator="equal">
      <formula>"wt"</formula>
    </cfRule>
    <cfRule type="cellIs" dxfId="799" priority="3" stopIfTrue="1" operator="equal">
      <formula>"wr"</formula>
    </cfRule>
  </conditionalFormatting>
  <pageMargins left="0.7" right="0.7" top="0.75" bottom="0.75" header="0.3" footer="0.3"/>
  <pageSetup scale="67" orientation="portrait" horizontalDpi="4294967293" verticalDpi="4294967293"/>
  <headerFooter>
    <oddHeader>&amp;C&amp;F
&amp;A</oddHeader>
    <oddFooter>&amp;LPrinted at &amp;T on &amp;D&amp;CCONFIDENTIAL&amp;RPage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T387"/>
  <sheetViews>
    <sheetView showGridLines="0" tabSelected="1" defaultGridColor="0" colorId="55" zoomScale="70" zoomScaleNormal="70" workbookViewId="0">
      <pane xSplit="4" ySplit="8" topLeftCell="E9" activePane="bottomRight" state="frozenSplit"/>
      <selection pane="topRight" activeCell="D1" sqref="D1"/>
      <selection pane="bottomLeft" activeCell="A27" sqref="A27"/>
      <selection pane="bottomRight" activeCell="G43" sqref="G43"/>
    </sheetView>
  </sheetViews>
  <sheetFormatPr defaultColWidth="8.85546875" defaultRowHeight="12.75" x14ac:dyDescent="0.2"/>
  <cols>
    <col min="1" max="1" width="7.42578125" style="17" customWidth="1"/>
    <col min="2" max="2" width="23.85546875" style="17" bestFit="1" customWidth="1"/>
    <col min="3" max="3" width="17.7109375" style="17" customWidth="1"/>
    <col min="4" max="4" width="69.7109375" style="12" customWidth="1"/>
    <col min="5" max="5" width="9.7109375" style="2" customWidth="1"/>
    <col min="6" max="6" width="13.7109375" style="2" bestFit="1" customWidth="1"/>
    <col min="7" max="8" width="11.7109375" style="13" customWidth="1"/>
    <col min="9" max="9" width="13.42578125" style="13" customWidth="1"/>
    <col min="10" max="13" width="13.85546875" style="2" customWidth="1"/>
    <col min="14" max="14" width="11.7109375" style="1" customWidth="1"/>
    <col min="15" max="15" width="53.42578125" style="2" customWidth="1"/>
    <col min="16" max="16" width="4.7109375" style="2" customWidth="1"/>
    <col min="17" max="17" width="14.42578125" style="3" customWidth="1"/>
    <col min="18" max="18" width="65" style="11" customWidth="1"/>
    <col min="19" max="19" width="16.140625" style="12" customWidth="1"/>
    <col min="20" max="20" width="15.7109375" style="11" customWidth="1"/>
    <col min="21" max="21" width="2" style="11" customWidth="1"/>
    <col min="22" max="24" width="44" style="11" customWidth="1"/>
    <col min="25" max="16384" width="8.85546875" style="11"/>
  </cols>
  <sheetData>
    <row r="1" spans="1:20" s="5" customFormat="1" ht="18" x14ac:dyDescent="0.2">
      <c r="A1" s="48"/>
      <c r="B1" s="49"/>
      <c r="O1" s="56"/>
    </row>
    <row r="2" spans="1:20" s="12" customFormat="1" ht="27.75" x14ac:dyDescent="0.2">
      <c r="A2" s="14" t="s">
        <v>170</v>
      </c>
      <c r="B2" s="15"/>
      <c r="C2" s="15"/>
      <c r="D2" s="15"/>
      <c r="E2" s="4"/>
      <c r="F2" s="4"/>
      <c r="G2" s="16"/>
      <c r="H2" s="1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s="20" customFormat="1" ht="38.25" customHeight="1" x14ac:dyDescent="0.25">
      <c r="A3" s="35"/>
      <c r="B3" s="36" t="s">
        <v>21</v>
      </c>
      <c r="C3" s="60" t="s">
        <v>60</v>
      </c>
      <c r="D3" s="59"/>
      <c r="E3" s="33"/>
      <c r="F3" s="33"/>
      <c r="G3" s="137" t="s">
        <v>35</v>
      </c>
      <c r="H3" s="138"/>
      <c r="I3" s="62" t="s">
        <v>10</v>
      </c>
      <c r="J3" s="135" t="s">
        <v>9</v>
      </c>
      <c r="K3" s="136"/>
      <c r="L3" s="63" t="s">
        <v>12</v>
      </c>
      <c r="M3" s="133" t="s">
        <v>13</v>
      </c>
      <c r="N3" s="134"/>
      <c r="Q3" s="37"/>
      <c r="R3" s="130"/>
      <c r="S3" s="130"/>
      <c r="T3" s="130"/>
    </row>
    <row r="4" spans="1:20" s="20" customFormat="1" ht="38.25" customHeight="1" x14ac:dyDescent="0.25">
      <c r="A4" s="38"/>
      <c r="B4" s="39" t="s">
        <v>33</v>
      </c>
      <c r="C4" s="132" t="s">
        <v>61</v>
      </c>
      <c r="D4" s="132"/>
      <c r="E4" s="33"/>
      <c r="F4" s="33"/>
      <c r="G4" s="34"/>
      <c r="H4" s="34"/>
      <c r="I4" s="64" t="s">
        <v>11</v>
      </c>
      <c r="J4" s="133" t="s">
        <v>34</v>
      </c>
      <c r="K4" s="134"/>
      <c r="L4" s="65" t="s">
        <v>6</v>
      </c>
      <c r="M4" s="133" t="s">
        <v>7</v>
      </c>
      <c r="N4" s="134"/>
      <c r="Q4" s="42"/>
      <c r="R4" s="131"/>
      <c r="S4" s="131"/>
      <c r="T4" s="131"/>
    </row>
    <row r="5" spans="1:20" s="20" customFormat="1" ht="15" x14ac:dyDescent="0.2">
      <c r="A5" s="38"/>
      <c r="B5" s="40"/>
      <c r="C5" s="40"/>
      <c r="D5" s="40"/>
      <c r="E5" s="33"/>
      <c r="F5" s="33"/>
      <c r="G5" s="34"/>
      <c r="H5" s="34"/>
      <c r="I5" s="34"/>
      <c r="Q5" s="42"/>
      <c r="R5" s="43"/>
      <c r="S5" s="43"/>
      <c r="T5" s="43"/>
    </row>
    <row r="6" spans="1:20" s="20" customFormat="1" ht="18" x14ac:dyDescent="0.2">
      <c r="A6" s="38"/>
      <c r="B6" s="40"/>
      <c r="C6" s="40"/>
      <c r="D6" s="40"/>
      <c r="E6" s="41"/>
      <c r="F6" s="41"/>
      <c r="G6" s="44"/>
      <c r="H6" s="44"/>
      <c r="I6" s="44"/>
      <c r="J6" s="70" t="s">
        <v>22</v>
      </c>
      <c r="K6" s="68" t="s">
        <v>15</v>
      </c>
      <c r="L6" s="68"/>
      <c r="M6" s="69"/>
      <c r="N6" s="66"/>
      <c r="O6" s="33"/>
      <c r="P6" s="33"/>
      <c r="Q6" s="61" t="s">
        <v>25</v>
      </c>
      <c r="R6" s="61"/>
      <c r="S6" s="58"/>
      <c r="T6" s="58"/>
    </row>
    <row r="7" spans="1:20" s="55" customFormat="1" ht="15" x14ac:dyDescent="0.2">
      <c r="A7" s="85"/>
      <c r="B7" s="86"/>
      <c r="C7" s="87"/>
      <c r="D7" s="85"/>
      <c r="E7" s="88"/>
      <c r="F7" s="88"/>
      <c r="G7" s="89"/>
      <c r="H7" s="89"/>
      <c r="I7" s="89"/>
      <c r="J7" s="90"/>
      <c r="K7" s="67">
        <v>41153</v>
      </c>
      <c r="L7" s="67">
        <f>K7+90</f>
        <v>41243</v>
      </c>
      <c r="M7" s="91" t="s">
        <v>30</v>
      </c>
      <c r="N7" s="88"/>
      <c r="O7" s="88"/>
      <c r="P7" s="52"/>
      <c r="Q7" s="53"/>
      <c r="R7" s="54"/>
      <c r="S7" s="57"/>
      <c r="T7" s="53"/>
    </row>
    <row r="8" spans="1:20" s="51" customFormat="1" ht="84" customHeight="1" x14ac:dyDescent="0.2">
      <c r="A8" s="104" t="s">
        <v>31</v>
      </c>
      <c r="B8" s="105" t="s">
        <v>5</v>
      </c>
      <c r="C8" s="105" t="s">
        <v>28</v>
      </c>
      <c r="D8" s="104" t="s">
        <v>29</v>
      </c>
      <c r="E8" s="105" t="s">
        <v>20</v>
      </c>
      <c r="F8" s="105" t="s">
        <v>119</v>
      </c>
      <c r="G8" s="106" t="s">
        <v>27</v>
      </c>
      <c r="H8" s="107" t="s">
        <v>1</v>
      </c>
      <c r="I8" s="106" t="s">
        <v>0</v>
      </c>
      <c r="J8" s="108" t="s">
        <v>8</v>
      </c>
      <c r="K8" s="109" t="s">
        <v>26</v>
      </c>
      <c r="L8" s="109" t="s">
        <v>58</v>
      </c>
      <c r="M8" s="109" t="s">
        <v>59</v>
      </c>
      <c r="N8" s="105" t="s">
        <v>4</v>
      </c>
      <c r="O8" s="105" t="s">
        <v>2</v>
      </c>
      <c r="P8" s="50"/>
      <c r="Q8" s="110" t="s">
        <v>32</v>
      </c>
      <c r="R8" s="111" t="s">
        <v>14</v>
      </c>
      <c r="S8" s="111" t="s">
        <v>23</v>
      </c>
      <c r="T8" s="111" t="s">
        <v>24</v>
      </c>
    </row>
    <row r="9" spans="1:20" s="19" customFormat="1" ht="15.75" x14ac:dyDescent="0.2">
      <c r="A9" s="141"/>
      <c r="B9" s="142"/>
      <c r="C9" s="148" t="s">
        <v>318</v>
      </c>
      <c r="D9" s="143" t="s">
        <v>319</v>
      </c>
      <c r="E9" s="144" t="s">
        <v>64</v>
      </c>
      <c r="F9" s="144" t="s">
        <v>320</v>
      </c>
      <c r="G9" s="96">
        <f>K7</f>
        <v>41153</v>
      </c>
      <c r="H9" s="96"/>
      <c r="I9" s="96"/>
      <c r="J9" s="145"/>
      <c r="K9" s="146"/>
      <c r="L9" s="146"/>
      <c r="M9" s="146"/>
      <c r="N9" s="144"/>
      <c r="O9" s="101"/>
      <c r="P9" s="147"/>
      <c r="Q9" s="101"/>
      <c r="R9" s="101"/>
      <c r="S9" s="102"/>
      <c r="T9" s="144"/>
    </row>
    <row r="10" spans="1:20" s="19" customFormat="1" ht="15.75" x14ac:dyDescent="0.2">
      <c r="A10" s="113"/>
      <c r="B10" s="21"/>
      <c r="C10" s="150" t="s">
        <v>318</v>
      </c>
      <c r="D10" s="92" t="s">
        <v>339</v>
      </c>
      <c r="E10" s="23"/>
      <c r="F10" s="23" t="s">
        <v>320</v>
      </c>
      <c r="G10" s="31">
        <f>K7</f>
        <v>41153</v>
      </c>
      <c r="H10" s="116"/>
      <c r="I10" s="24"/>
      <c r="J10" s="118"/>
      <c r="K10" s="117"/>
      <c r="L10" s="117"/>
      <c r="M10" s="117"/>
      <c r="N10" s="25"/>
      <c r="O10" s="26"/>
      <c r="P10" s="18"/>
      <c r="Q10" s="27"/>
      <c r="R10" s="22"/>
      <c r="S10" s="28"/>
      <c r="T10" s="25"/>
    </row>
    <row r="11" spans="1:20" s="19" customFormat="1" ht="30" x14ac:dyDescent="0.2">
      <c r="A11" s="113"/>
      <c r="B11" s="21"/>
      <c r="C11" s="150" t="s">
        <v>318</v>
      </c>
      <c r="D11" s="92" t="s">
        <v>340</v>
      </c>
      <c r="E11" s="23"/>
      <c r="F11" s="23" t="s">
        <v>320</v>
      </c>
      <c r="G11" s="31">
        <f>K7</f>
        <v>41153</v>
      </c>
      <c r="H11" s="116"/>
      <c r="I11" s="24"/>
      <c r="J11" s="118"/>
      <c r="K11" s="117"/>
      <c r="L11" s="117"/>
      <c r="M11" s="117"/>
      <c r="N11" s="25"/>
      <c r="O11" s="26"/>
      <c r="P11" s="18"/>
      <c r="Q11" s="27"/>
      <c r="R11" s="22"/>
      <c r="S11" s="28"/>
      <c r="T11" s="25"/>
    </row>
    <row r="12" spans="1:20" s="19" customFormat="1" ht="15.75" x14ac:dyDescent="0.2">
      <c r="A12" s="113"/>
      <c r="B12" s="21"/>
      <c r="C12" s="150" t="s">
        <v>318</v>
      </c>
      <c r="D12" s="92" t="s">
        <v>341</v>
      </c>
      <c r="E12" s="23"/>
      <c r="F12" s="23" t="s">
        <v>320</v>
      </c>
      <c r="G12" s="31">
        <f>K7</f>
        <v>41153</v>
      </c>
      <c r="H12" s="116"/>
      <c r="I12" s="24"/>
      <c r="J12" s="118"/>
      <c r="K12" s="117"/>
      <c r="L12" s="117"/>
      <c r="M12" s="117"/>
      <c r="N12" s="25"/>
      <c r="O12" s="26"/>
      <c r="P12" s="18"/>
      <c r="Q12" s="27"/>
      <c r="R12" s="22"/>
      <c r="S12" s="28"/>
      <c r="T12" s="25"/>
    </row>
    <row r="13" spans="1:20" s="19" customFormat="1" ht="30" x14ac:dyDescent="0.2">
      <c r="A13" s="113"/>
      <c r="B13" s="21"/>
      <c r="C13" s="150" t="s">
        <v>318</v>
      </c>
      <c r="D13" s="92" t="s">
        <v>342</v>
      </c>
      <c r="E13" s="23"/>
      <c r="F13" s="23" t="s">
        <v>320</v>
      </c>
      <c r="G13" s="31">
        <f>K7</f>
        <v>41153</v>
      </c>
      <c r="H13" s="116"/>
      <c r="I13" s="24"/>
      <c r="J13" s="118"/>
      <c r="K13" s="117"/>
      <c r="L13" s="117"/>
      <c r="M13" s="117"/>
      <c r="N13" s="25"/>
      <c r="O13" s="26"/>
      <c r="P13" s="18"/>
      <c r="Q13" s="27"/>
      <c r="R13" s="22"/>
      <c r="S13" s="28"/>
      <c r="T13" s="25"/>
    </row>
    <row r="14" spans="1:20" s="19" customFormat="1" ht="15.75" x14ac:dyDescent="0.2">
      <c r="A14" s="141"/>
      <c r="B14" s="142"/>
      <c r="C14" s="148" t="s">
        <v>318</v>
      </c>
      <c r="D14" s="143" t="s">
        <v>346</v>
      </c>
      <c r="E14" s="144"/>
      <c r="F14" s="144" t="s">
        <v>320</v>
      </c>
      <c r="G14" s="96">
        <f>K7</f>
        <v>41153</v>
      </c>
      <c r="H14" s="96"/>
      <c r="I14" s="96"/>
      <c r="J14" s="145"/>
      <c r="K14" s="146"/>
      <c r="L14" s="146"/>
      <c r="M14" s="146"/>
      <c r="N14" s="144"/>
      <c r="O14" s="101"/>
      <c r="P14" s="147"/>
      <c r="Q14" s="101"/>
      <c r="R14" s="101"/>
      <c r="S14" s="102"/>
      <c r="T14" s="144"/>
    </row>
    <row r="15" spans="1:20" s="19" customFormat="1" ht="15.75" x14ac:dyDescent="0.2">
      <c r="A15" s="113"/>
      <c r="B15" s="21"/>
      <c r="C15" s="150" t="s">
        <v>318</v>
      </c>
      <c r="D15" s="92" t="s">
        <v>343</v>
      </c>
      <c r="E15" s="23"/>
      <c r="F15" s="23" t="s">
        <v>320</v>
      </c>
      <c r="G15" s="31">
        <f>K7</f>
        <v>41153</v>
      </c>
      <c r="H15" s="116"/>
      <c r="I15" s="24"/>
      <c r="J15" s="118"/>
      <c r="K15" s="117"/>
      <c r="L15" s="117"/>
      <c r="M15" s="117"/>
      <c r="N15" s="25"/>
      <c r="O15" s="26"/>
      <c r="P15" s="18"/>
      <c r="Q15" s="27"/>
      <c r="R15" s="22"/>
      <c r="S15" s="28"/>
      <c r="T15" s="25"/>
    </row>
    <row r="16" spans="1:20" s="19" customFormat="1" ht="15.75" x14ac:dyDescent="0.2">
      <c r="A16" s="113"/>
      <c r="B16" s="21"/>
      <c r="C16" s="150" t="s">
        <v>318</v>
      </c>
      <c r="D16" s="92" t="s">
        <v>344</v>
      </c>
      <c r="E16" s="23"/>
      <c r="F16" s="23" t="s">
        <v>320</v>
      </c>
      <c r="G16" s="31">
        <f>K7</f>
        <v>41153</v>
      </c>
      <c r="H16" s="116"/>
      <c r="I16" s="24"/>
      <c r="J16" s="118"/>
      <c r="K16" s="117"/>
      <c r="L16" s="117"/>
      <c r="M16" s="117"/>
      <c r="N16" s="25"/>
      <c r="O16" s="26"/>
      <c r="P16" s="18"/>
      <c r="Q16" s="27"/>
      <c r="R16" s="22"/>
      <c r="S16" s="28"/>
      <c r="T16" s="25"/>
    </row>
    <row r="17" spans="1:20" s="19" customFormat="1" ht="15.75" x14ac:dyDescent="0.2">
      <c r="A17" s="141"/>
      <c r="B17" s="142"/>
      <c r="C17" s="148" t="s">
        <v>318</v>
      </c>
      <c r="D17" s="143" t="s">
        <v>345</v>
      </c>
      <c r="E17" s="144"/>
      <c r="F17" s="144" t="s">
        <v>320</v>
      </c>
      <c r="G17" s="96">
        <f>K7</f>
        <v>41153</v>
      </c>
      <c r="H17" s="96"/>
      <c r="I17" s="96"/>
      <c r="J17" s="145"/>
      <c r="K17" s="146"/>
      <c r="L17" s="146"/>
      <c r="M17" s="146"/>
      <c r="N17" s="144"/>
      <c r="O17" s="101"/>
      <c r="P17" s="147"/>
      <c r="Q17" s="101"/>
      <c r="R17" s="101"/>
      <c r="S17" s="102"/>
      <c r="T17" s="144"/>
    </row>
    <row r="18" spans="1:20" s="19" customFormat="1" ht="15.75" x14ac:dyDescent="0.2">
      <c r="A18" s="113"/>
      <c r="B18" s="21"/>
      <c r="C18" s="150" t="s">
        <v>318</v>
      </c>
      <c r="D18" s="92" t="s">
        <v>321</v>
      </c>
      <c r="E18" s="23"/>
      <c r="F18" s="23" t="s">
        <v>320</v>
      </c>
      <c r="G18" s="31">
        <f>K7</f>
        <v>41153</v>
      </c>
      <c r="H18" s="116"/>
      <c r="I18" s="24"/>
      <c r="J18" s="118"/>
      <c r="K18" s="117"/>
      <c r="L18" s="117"/>
      <c r="M18" s="117"/>
      <c r="N18" s="25"/>
      <c r="O18" s="26"/>
      <c r="P18" s="18"/>
      <c r="Q18" s="27"/>
      <c r="R18" s="22"/>
      <c r="S18" s="28"/>
      <c r="T18" s="25"/>
    </row>
    <row r="19" spans="1:20" s="19" customFormat="1" ht="15.75" x14ac:dyDescent="0.2">
      <c r="A19" s="113"/>
      <c r="B19" s="21"/>
      <c r="C19" s="150" t="s">
        <v>318</v>
      </c>
      <c r="D19" s="92" t="s">
        <v>322</v>
      </c>
      <c r="E19" s="23"/>
      <c r="F19" s="23" t="s">
        <v>320</v>
      </c>
      <c r="G19" s="31">
        <f>SUM(K7)</f>
        <v>41153</v>
      </c>
      <c r="H19" s="116"/>
      <c r="I19" s="24"/>
      <c r="J19" s="118"/>
      <c r="K19" s="117"/>
      <c r="L19" s="117"/>
      <c r="M19" s="117"/>
      <c r="N19" s="25"/>
      <c r="O19" s="26"/>
      <c r="P19" s="18"/>
      <c r="Q19" s="27"/>
      <c r="R19" s="22"/>
      <c r="S19" s="28"/>
      <c r="T19" s="25"/>
    </row>
    <row r="20" spans="1:20" s="19" customFormat="1" ht="15.75" x14ac:dyDescent="0.2">
      <c r="A20" s="113"/>
      <c r="B20" s="21"/>
      <c r="C20" s="150" t="s">
        <v>318</v>
      </c>
      <c r="D20" s="92" t="s">
        <v>323</v>
      </c>
      <c r="E20" s="23"/>
      <c r="F20" s="23" t="s">
        <v>320</v>
      </c>
      <c r="G20" s="31">
        <f>K7</f>
        <v>41153</v>
      </c>
      <c r="H20" s="116"/>
      <c r="I20" s="24"/>
      <c r="J20" s="118"/>
      <c r="K20" s="117"/>
      <c r="L20" s="117"/>
      <c r="M20" s="117"/>
      <c r="N20" s="25"/>
      <c r="O20" s="26"/>
      <c r="P20" s="18"/>
      <c r="Q20" s="27"/>
      <c r="R20" s="22"/>
      <c r="S20" s="28"/>
      <c r="T20" s="25"/>
    </row>
    <row r="21" spans="1:20" s="19" customFormat="1" ht="15.75" x14ac:dyDescent="0.2">
      <c r="A21" s="113"/>
      <c r="B21" s="21"/>
      <c r="C21" s="150" t="s">
        <v>318</v>
      </c>
      <c r="D21" s="92" t="s">
        <v>324</v>
      </c>
      <c r="E21" s="23"/>
      <c r="F21" s="23" t="s">
        <v>320</v>
      </c>
      <c r="G21" s="31">
        <f>K7</f>
        <v>41153</v>
      </c>
      <c r="H21" s="116"/>
      <c r="I21" s="24"/>
      <c r="J21" s="118"/>
      <c r="K21" s="117"/>
      <c r="L21" s="117"/>
      <c r="M21" s="117"/>
      <c r="N21" s="25"/>
      <c r="O21" s="26"/>
      <c r="P21" s="18"/>
      <c r="Q21" s="27"/>
      <c r="R21" s="22"/>
      <c r="S21" s="28"/>
      <c r="T21" s="25"/>
    </row>
    <row r="22" spans="1:20" s="19" customFormat="1" ht="15.75" x14ac:dyDescent="0.2">
      <c r="A22" s="113"/>
      <c r="B22" s="21"/>
      <c r="C22" s="150" t="s">
        <v>318</v>
      </c>
      <c r="D22" s="92" t="s">
        <v>325</v>
      </c>
      <c r="E22" s="23"/>
      <c r="F22" s="23" t="s">
        <v>320</v>
      </c>
      <c r="G22" s="31">
        <f>K7</f>
        <v>41153</v>
      </c>
      <c r="H22" s="116"/>
      <c r="I22" s="24"/>
      <c r="J22" s="118"/>
      <c r="K22" s="117"/>
      <c r="L22" s="117"/>
      <c r="M22" s="117"/>
      <c r="N22" s="25"/>
      <c r="O22" s="26"/>
      <c r="P22" s="18"/>
      <c r="Q22" s="27"/>
      <c r="R22" s="22"/>
      <c r="S22" s="28"/>
      <c r="T22" s="25"/>
    </row>
    <row r="23" spans="1:20" s="19" customFormat="1" ht="15.75" x14ac:dyDescent="0.2">
      <c r="A23" s="113"/>
      <c r="B23" s="21"/>
      <c r="C23" s="150" t="s">
        <v>318</v>
      </c>
      <c r="D23" s="92" t="s">
        <v>326</v>
      </c>
      <c r="E23" s="23"/>
      <c r="F23" s="23" t="s">
        <v>320</v>
      </c>
      <c r="G23" s="31">
        <f>K7</f>
        <v>41153</v>
      </c>
      <c r="H23" s="116"/>
      <c r="I23" s="24"/>
      <c r="J23" s="118"/>
      <c r="K23" s="117"/>
      <c r="L23" s="117"/>
      <c r="M23" s="117"/>
      <c r="N23" s="25"/>
      <c r="O23" s="26"/>
      <c r="P23" s="18"/>
      <c r="Q23" s="27"/>
      <c r="R23" s="22"/>
      <c r="S23" s="28"/>
      <c r="T23" s="25"/>
    </row>
    <row r="24" spans="1:20" s="19" customFormat="1" ht="15.75" x14ac:dyDescent="0.2">
      <c r="A24" s="113"/>
      <c r="B24" s="21"/>
      <c r="C24" s="150" t="s">
        <v>318</v>
      </c>
      <c r="D24" s="92" t="s">
        <v>327</v>
      </c>
      <c r="E24" s="23"/>
      <c r="F24" s="23" t="s">
        <v>320</v>
      </c>
      <c r="G24" s="31">
        <f>K7</f>
        <v>41153</v>
      </c>
      <c r="H24" s="116"/>
      <c r="I24" s="24"/>
      <c r="J24" s="118"/>
      <c r="K24" s="117"/>
      <c r="L24" s="117"/>
      <c r="M24" s="117"/>
      <c r="N24" s="25"/>
      <c r="O24" s="26"/>
      <c r="P24" s="18"/>
      <c r="Q24" s="27"/>
      <c r="R24" s="22"/>
      <c r="S24" s="28"/>
      <c r="T24" s="25"/>
    </row>
    <row r="25" spans="1:20" s="19" customFormat="1" ht="15.75" x14ac:dyDescent="0.2">
      <c r="A25" s="113"/>
      <c r="B25" s="21"/>
      <c r="C25" s="150" t="s">
        <v>318</v>
      </c>
      <c r="D25" s="92" t="s">
        <v>328</v>
      </c>
      <c r="E25" s="23"/>
      <c r="F25" s="23" t="s">
        <v>320</v>
      </c>
      <c r="G25" s="31">
        <f>K7</f>
        <v>41153</v>
      </c>
      <c r="H25" s="116"/>
      <c r="I25" s="24"/>
      <c r="J25" s="118"/>
      <c r="K25" s="117"/>
      <c r="L25" s="117"/>
      <c r="M25" s="117"/>
      <c r="N25" s="25"/>
      <c r="O25" s="26"/>
      <c r="P25" s="18"/>
      <c r="Q25" s="27"/>
      <c r="R25" s="22"/>
      <c r="S25" s="28"/>
      <c r="T25" s="25"/>
    </row>
    <row r="26" spans="1:20" s="19" customFormat="1" ht="15.75" x14ac:dyDescent="0.2">
      <c r="A26" s="113"/>
      <c r="B26" s="21"/>
      <c r="C26" s="150" t="s">
        <v>318</v>
      </c>
      <c r="D26" s="92" t="s">
        <v>329</v>
      </c>
      <c r="E26" s="23"/>
      <c r="F26" s="23" t="s">
        <v>320</v>
      </c>
      <c r="G26" s="31">
        <f>K7</f>
        <v>41153</v>
      </c>
      <c r="H26" s="116"/>
      <c r="I26" s="24"/>
      <c r="J26" s="118"/>
      <c r="K26" s="117"/>
      <c r="L26" s="117"/>
      <c r="M26" s="117"/>
      <c r="N26" s="25"/>
      <c r="O26" s="26"/>
      <c r="P26" s="18"/>
      <c r="Q26" s="27"/>
      <c r="R26" s="22"/>
      <c r="S26" s="28"/>
      <c r="T26" s="25"/>
    </row>
    <row r="27" spans="1:20" s="19" customFormat="1" ht="15.75" x14ac:dyDescent="0.2">
      <c r="A27" s="113"/>
      <c r="B27" s="21"/>
      <c r="C27" s="150" t="s">
        <v>318</v>
      </c>
      <c r="D27" s="92" t="s">
        <v>330</v>
      </c>
      <c r="E27" s="23"/>
      <c r="F27" s="23" t="s">
        <v>320</v>
      </c>
      <c r="G27" s="31">
        <f>K7</f>
        <v>41153</v>
      </c>
      <c r="H27" s="116"/>
      <c r="I27" s="24"/>
      <c r="J27" s="118"/>
      <c r="K27" s="117"/>
      <c r="L27" s="117"/>
      <c r="M27" s="117"/>
      <c r="N27" s="25"/>
      <c r="O27" s="26"/>
      <c r="P27" s="18"/>
      <c r="Q27" s="27"/>
      <c r="R27" s="22"/>
      <c r="S27" s="28"/>
      <c r="T27" s="25"/>
    </row>
    <row r="28" spans="1:20" s="19" customFormat="1" ht="15.75" x14ac:dyDescent="0.2">
      <c r="A28" s="113"/>
      <c r="B28" s="21"/>
      <c r="C28" s="150" t="s">
        <v>318</v>
      </c>
      <c r="D28" s="92" t="s">
        <v>331</v>
      </c>
      <c r="E28" s="23"/>
      <c r="F28" s="23" t="s">
        <v>320</v>
      </c>
      <c r="G28" s="31">
        <f>K7</f>
        <v>41153</v>
      </c>
      <c r="H28" s="116"/>
      <c r="I28" s="24"/>
      <c r="J28" s="118"/>
      <c r="K28" s="117"/>
      <c r="L28" s="117"/>
      <c r="M28" s="117"/>
      <c r="N28" s="25"/>
      <c r="O28" s="26"/>
      <c r="P28" s="18"/>
      <c r="Q28" s="27"/>
      <c r="R28" s="22"/>
      <c r="S28" s="28"/>
      <c r="T28" s="25"/>
    </row>
    <row r="29" spans="1:20" s="19" customFormat="1" ht="15.75" x14ac:dyDescent="0.2">
      <c r="A29" s="113"/>
      <c r="B29" s="21"/>
      <c r="C29" s="150" t="s">
        <v>318</v>
      </c>
      <c r="D29" s="92" t="s">
        <v>332</v>
      </c>
      <c r="E29" s="23"/>
      <c r="F29" s="23" t="s">
        <v>320</v>
      </c>
      <c r="G29" s="31">
        <f>K7</f>
        <v>41153</v>
      </c>
      <c r="H29" s="116"/>
      <c r="I29" s="24"/>
      <c r="J29" s="118"/>
      <c r="K29" s="117"/>
      <c r="L29" s="117"/>
      <c r="M29" s="117"/>
      <c r="N29" s="25"/>
      <c r="O29" s="26"/>
      <c r="P29" s="18"/>
      <c r="Q29" s="27"/>
      <c r="R29" s="22"/>
      <c r="S29" s="28"/>
      <c r="T29" s="25"/>
    </row>
    <row r="30" spans="1:20" s="19" customFormat="1" ht="15.75" x14ac:dyDescent="0.2">
      <c r="A30" s="113"/>
      <c r="B30" s="21"/>
      <c r="C30" s="150" t="s">
        <v>318</v>
      </c>
      <c r="D30" s="92" t="s">
        <v>333</v>
      </c>
      <c r="E30" s="23"/>
      <c r="F30" s="23" t="s">
        <v>320</v>
      </c>
      <c r="G30" s="31">
        <f>K7</f>
        <v>41153</v>
      </c>
      <c r="H30" s="116"/>
      <c r="I30" s="24"/>
      <c r="J30" s="118"/>
      <c r="K30" s="117"/>
      <c r="L30" s="117"/>
      <c r="M30" s="117"/>
      <c r="N30" s="25"/>
      <c r="O30" s="26"/>
      <c r="P30" s="18"/>
      <c r="Q30" s="27"/>
      <c r="R30" s="22"/>
      <c r="S30" s="28"/>
      <c r="T30" s="25"/>
    </row>
    <row r="31" spans="1:20" s="19" customFormat="1" ht="15.75" x14ac:dyDescent="0.2">
      <c r="A31" s="113"/>
      <c r="B31" s="21"/>
      <c r="C31" s="150" t="s">
        <v>318</v>
      </c>
      <c r="D31" s="92" t="s">
        <v>334</v>
      </c>
      <c r="E31" s="23"/>
      <c r="F31" s="23" t="s">
        <v>320</v>
      </c>
      <c r="G31" s="31">
        <f>K7</f>
        <v>41153</v>
      </c>
      <c r="H31" s="116"/>
      <c r="I31" s="24"/>
      <c r="J31" s="118"/>
      <c r="K31" s="117"/>
      <c r="L31" s="117"/>
      <c r="M31" s="117"/>
      <c r="N31" s="25"/>
      <c r="O31" s="26"/>
      <c r="P31" s="18"/>
      <c r="Q31" s="27"/>
      <c r="R31" s="22"/>
      <c r="S31" s="28"/>
      <c r="T31" s="25"/>
    </row>
    <row r="32" spans="1:20" s="19" customFormat="1" ht="15.75" x14ac:dyDescent="0.2">
      <c r="A32" s="113"/>
      <c r="B32" s="21"/>
      <c r="C32" s="150" t="s">
        <v>318</v>
      </c>
      <c r="D32" s="92" t="s">
        <v>335</v>
      </c>
      <c r="E32" s="23"/>
      <c r="F32" s="23" t="s">
        <v>320</v>
      </c>
      <c r="G32" s="31">
        <f>K7</f>
        <v>41153</v>
      </c>
      <c r="H32" s="116"/>
      <c r="I32" s="24"/>
      <c r="J32" s="118"/>
      <c r="K32" s="117"/>
      <c r="L32" s="117"/>
      <c r="M32" s="117"/>
      <c r="N32" s="25"/>
      <c r="O32" s="26"/>
      <c r="P32" s="18"/>
      <c r="Q32" s="27"/>
      <c r="R32" s="22"/>
      <c r="S32" s="28"/>
      <c r="T32" s="25"/>
    </row>
    <row r="33" spans="1:20" s="19" customFormat="1" ht="15.75" x14ac:dyDescent="0.2">
      <c r="A33" s="113"/>
      <c r="B33" s="21"/>
      <c r="C33" s="150" t="s">
        <v>318</v>
      </c>
      <c r="D33" s="92" t="s">
        <v>336</v>
      </c>
      <c r="E33" s="23"/>
      <c r="F33" s="23" t="s">
        <v>320</v>
      </c>
      <c r="G33" s="31">
        <f>K7</f>
        <v>41153</v>
      </c>
      <c r="H33" s="116"/>
      <c r="I33" s="24"/>
      <c r="J33" s="118"/>
      <c r="K33" s="117"/>
      <c r="L33" s="117"/>
      <c r="M33" s="117"/>
      <c r="N33" s="25"/>
      <c r="O33" s="26"/>
      <c r="P33" s="18"/>
      <c r="Q33" s="27"/>
      <c r="R33" s="22"/>
      <c r="S33" s="28"/>
      <c r="T33" s="25"/>
    </row>
    <row r="34" spans="1:20" s="19" customFormat="1" ht="15.75" x14ac:dyDescent="0.2">
      <c r="A34" s="113"/>
      <c r="B34" s="21"/>
      <c r="C34" s="150" t="s">
        <v>318</v>
      </c>
      <c r="D34" s="92" t="s">
        <v>337</v>
      </c>
      <c r="E34" s="23"/>
      <c r="F34" s="23" t="s">
        <v>320</v>
      </c>
      <c r="G34" s="31">
        <f>K7</f>
        <v>41153</v>
      </c>
      <c r="H34" s="116"/>
      <c r="I34" s="24"/>
      <c r="J34" s="118"/>
      <c r="K34" s="117"/>
      <c r="L34" s="117"/>
      <c r="M34" s="117"/>
      <c r="N34" s="25"/>
      <c r="O34" s="26"/>
      <c r="P34" s="18"/>
      <c r="Q34" s="27"/>
      <c r="R34" s="22"/>
      <c r="S34" s="28"/>
      <c r="T34" s="25"/>
    </row>
    <row r="35" spans="1:20" s="19" customFormat="1" ht="15.75" x14ac:dyDescent="0.2">
      <c r="A35" s="113"/>
      <c r="B35" s="21"/>
      <c r="C35" s="150" t="s">
        <v>318</v>
      </c>
      <c r="D35" s="92" t="s">
        <v>338</v>
      </c>
      <c r="E35" s="23"/>
      <c r="F35" s="23" t="s">
        <v>320</v>
      </c>
      <c r="G35" s="31">
        <f>K7</f>
        <v>41153</v>
      </c>
      <c r="H35" s="116"/>
      <c r="I35" s="24"/>
      <c r="J35" s="118"/>
      <c r="K35" s="117"/>
      <c r="L35" s="117"/>
      <c r="M35" s="117"/>
      <c r="N35" s="25"/>
      <c r="O35" s="26"/>
      <c r="P35" s="18"/>
      <c r="Q35" s="27"/>
      <c r="R35" s="22"/>
      <c r="S35" s="28"/>
      <c r="T35" s="25"/>
    </row>
    <row r="36" spans="1:20" s="19" customFormat="1" ht="15.75" x14ac:dyDescent="0.2">
      <c r="A36" s="141"/>
      <c r="B36" s="142"/>
      <c r="C36" s="148" t="s">
        <v>318</v>
      </c>
      <c r="D36" s="143" t="s">
        <v>347</v>
      </c>
      <c r="E36" s="144"/>
      <c r="F36" s="144" t="s">
        <v>320</v>
      </c>
      <c r="G36" s="96">
        <f>K7</f>
        <v>41153</v>
      </c>
      <c r="H36" s="96"/>
      <c r="I36" s="96"/>
      <c r="J36" s="145"/>
      <c r="K36" s="146"/>
      <c r="L36" s="146"/>
      <c r="M36" s="146"/>
      <c r="N36" s="144"/>
      <c r="O36" s="101"/>
      <c r="P36" s="147"/>
      <c r="Q36" s="101"/>
      <c r="R36" s="101"/>
      <c r="S36" s="102"/>
      <c r="T36" s="144"/>
    </row>
    <row r="37" spans="1:20" s="19" customFormat="1" ht="15.75" x14ac:dyDescent="0.2">
      <c r="A37" s="113"/>
      <c r="B37" s="21"/>
      <c r="C37" s="150" t="s">
        <v>318</v>
      </c>
      <c r="D37" s="92" t="s">
        <v>348</v>
      </c>
      <c r="E37" s="23"/>
      <c r="F37" s="23" t="s">
        <v>320</v>
      </c>
      <c r="G37" s="31">
        <f>K7</f>
        <v>41153</v>
      </c>
      <c r="H37" s="116"/>
      <c r="I37" s="24"/>
      <c r="J37" s="118"/>
      <c r="K37" s="117"/>
      <c r="L37" s="117"/>
      <c r="M37" s="117"/>
      <c r="N37" s="25"/>
      <c r="O37" s="26"/>
      <c r="P37" s="18"/>
      <c r="Q37" s="27"/>
      <c r="R37" s="22"/>
      <c r="S37" s="28"/>
      <c r="T37" s="25"/>
    </row>
    <row r="38" spans="1:20" s="19" customFormat="1" ht="15.75" x14ac:dyDescent="0.2">
      <c r="A38" s="113"/>
      <c r="B38" s="21"/>
      <c r="C38" s="150" t="s">
        <v>318</v>
      </c>
      <c r="D38" s="92" t="s">
        <v>349</v>
      </c>
      <c r="E38" s="23"/>
      <c r="F38" s="23" t="s">
        <v>320</v>
      </c>
      <c r="G38" s="31">
        <f>K7</f>
        <v>41153</v>
      </c>
      <c r="H38" s="116"/>
      <c r="I38" s="24"/>
      <c r="J38" s="118"/>
      <c r="K38" s="117"/>
      <c r="L38" s="117"/>
      <c r="M38" s="117"/>
      <c r="N38" s="25"/>
      <c r="O38" s="26"/>
      <c r="P38" s="18"/>
      <c r="Q38" s="27"/>
      <c r="R38" s="22"/>
      <c r="S38" s="28"/>
      <c r="T38" s="25"/>
    </row>
    <row r="39" spans="1:20" s="19" customFormat="1" ht="15.75" x14ac:dyDescent="0.2">
      <c r="A39" s="113"/>
      <c r="B39" s="21"/>
      <c r="C39" s="150" t="s">
        <v>318</v>
      </c>
      <c r="D39" s="92" t="s">
        <v>350</v>
      </c>
      <c r="E39" s="23"/>
      <c r="F39" s="23" t="s">
        <v>320</v>
      </c>
      <c r="G39" s="31">
        <f>K7</f>
        <v>41153</v>
      </c>
      <c r="H39" s="116"/>
      <c r="I39" s="24"/>
      <c r="J39" s="118"/>
      <c r="K39" s="117"/>
      <c r="L39" s="117"/>
      <c r="M39" s="117"/>
      <c r="N39" s="25"/>
      <c r="O39" s="26"/>
      <c r="P39" s="18"/>
      <c r="Q39" s="27"/>
      <c r="R39" s="22"/>
      <c r="S39" s="28"/>
      <c r="T39" s="25"/>
    </row>
    <row r="40" spans="1:20" s="19" customFormat="1" ht="15.75" x14ac:dyDescent="0.2">
      <c r="A40" s="113"/>
      <c r="B40" s="21"/>
      <c r="C40" s="150" t="s">
        <v>318</v>
      </c>
      <c r="D40" s="92" t="s">
        <v>326</v>
      </c>
      <c r="E40" s="23"/>
      <c r="F40" s="23" t="s">
        <v>320</v>
      </c>
      <c r="G40" s="31">
        <f>K7</f>
        <v>41153</v>
      </c>
      <c r="H40" s="116"/>
      <c r="I40" s="24"/>
      <c r="J40" s="118"/>
      <c r="K40" s="117"/>
      <c r="L40" s="117"/>
      <c r="M40" s="117"/>
      <c r="N40" s="25"/>
      <c r="O40" s="26"/>
      <c r="P40" s="18"/>
      <c r="Q40" s="27"/>
      <c r="R40" s="22"/>
      <c r="S40" s="28"/>
      <c r="T40" s="25"/>
    </row>
    <row r="41" spans="1:20" s="19" customFormat="1" ht="15.75" x14ac:dyDescent="0.2">
      <c r="A41" s="113"/>
      <c r="B41" s="21"/>
      <c r="C41" s="150" t="s">
        <v>318</v>
      </c>
      <c r="D41" s="92" t="s">
        <v>351</v>
      </c>
      <c r="E41" s="23"/>
      <c r="F41" s="23" t="s">
        <v>320</v>
      </c>
      <c r="G41" s="31">
        <f>K7</f>
        <v>41153</v>
      </c>
      <c r="H41" s="116"/>
      <c r="I41" s="24"/>
      <c r="J41" s="118"/>
      <c r="K41" s="117"/>
      <c r="L41" s="117"/>
      <c r="M41" s="117"/>
      <c r="N41" s="25"/>
      <c r="O41" s="26"/>
      <c r="P41" s="18"/>
      <c r="Q41" s="27"/>
      <c r="R41" s="22"/>
      <c r="S41" s="28"/>
      <c r="T41" s="25"/>
    </row>
    <row r="42" spans="1:20" s="19" customFormat="1" ht="15.75" x14ac:dyDescent="0.2">
      <c r="A42" s="113"/>
      <c r="B42" s="21"/>
      <c r="C42" s="150" t="s">
        <v>318</v>
      </c>
      <c r="D42" s="92" t="s">
        <v>352</v>
      </c>
      <c r="E42" s="23"/>
      <c r="F42" s="23" t="s">
        <v>320</v>
      </c>
      <c r="G42" s="31">
        <f>K7</f>
        <v>41153</v>
      </c>
      <c r="H42" s="116"/>
      <c r="I42" s="24"/>
      <c r="J42" s="118"/>
      <c r="K42" s="117"/>
      <c r="L42" s="117"/>
      <c r="M42" s="117"/>
      <c r="N42" s="25"/>
      <c r="O42" s="26"/>
      <c r="P42" s="18"/>
      <c r="Q42" s="27"/>
      <c r="R42" s="22"/>
      <c r="S42" s="28"/>
      <c r="T42" s="25"/>
    </row>
    <row r="43" spans="1:20" s="19" customFormat="1" ht="15.75" x14ac:dyDescent="0.2">
      <c r="A43" s="112" t="s">
        <v>88</v>
      </c>
      <c r="B43" s="93" t="s">
        <v>64</v>
      </c>
      <c r="C43" s="93" t="s">
        <v>62</v>
      </c>
      <c r="D43" s="94" t="s">
        <v>63</v>
      </c>
      <c r="E43" s="95" t="s">
        <v>64</v>
      </c>
      <c r="F43" s="95" t="s">
        <v>120</v>
      </c>
      <c r="G43" s="96">
        <f>K7</f>
        <v>41153</v>
      </c>
      <c r="H43" s="96">
        <f>G43+J43</f>
        <v>41163</v>
      </c>
      <c r="I43" s="97"/>
      <c r="J43" s="98">
        <v>10</v>
      </c>
      <c r="K43" s="99" t="str">
        <f t="shared" ref="K43" si="0">IF(H43=0,"",IF(H43&lt;=$K$7, "X", ""))</f>
        <v/>
      </c>
      <c r="L43" s="99" t="str">
        <f t="shared" ref="L43" si="1">IF(H43&lt;$K$7, "",IF(H43&lt;=$L$7,"X", ""))</f>
        <v>X</v>
      </c>
      <c r="M43" s="99" t="str">
        <f t="shared" ref="M43" si="2">IF(H43&lt;$L$7, "",IF(H43&gt;$L$7,"X", ""))</f>
        <v/>
      </c>
      <c r="N43" s="95"/>
      <c r="O43" s="100"/>
      <c r="P43" s="103"/>
      <c r="Q43" s="101"/>
      <c r="R43" s="101"/>
      <c r="S43" s="102"/>
      <c r="T43" s="95"/>
    </row>
    <row r="44" spans="1:20" s="19" customFormat="1" ht="15.75" x14ac:dyDescent="0.2">
      <c r="A44" s="113" t="s">
        <v>89</v>
      </c>
      <c r="B44" s="21"/>
      <c r="C44" s="21" t="s">
        <v>62</v>
      </c>
      <c r="D44" s="92" t="s">
        <v>65</v>
      </c>
      <c r="E44" s="23"/>
      <c r="F44" s="23" t="s">
        <v>120</v>
      </c>
      <c r="G44" s="31">
        <f>K7</f>
        <v>41153</v>
      </c>
      <c r="H44" s="116">
        <f t="shared" ref="H44:H156" si="3">G44+J44</f>
        <v>41154</v>
      </c>
      <c r="I44" s="24"/>
      <c r="J44" s="118">
        <v>1</v>
      </c>
      <c r="K44" s="117" t="str">
        <f t="shared" ref="K44:K156" si="4">IF(H44=0,"",IF(H44&lt;=$K$7, "X", ""))</f>
        <v/>
      </c>
      <c r="L44" s="117" t="str">
        <f t="shared" ref="L44:L156" si="5">IF(H44&lt;$K$7, "",IF(H44&lt;=$L$7,"X", ""))</f>
        <v>X</v>
      </c>
      <c r="M44" s="117" t="str">
        <f t="shared" ref="M44:M156" si="6">IF(H44&lt;$L$7, "",IF(H44&gt;$L$7,"X", ""))</f>
        <v/>
      </c>
      <c r="N44" s="25"/>
      <c r="O44" s="26"/>
      <c r="P44" s="18"/>
      <c r="Q44" s="27"/>
      <c r="R44" s="22"/>
      <c r="S44" s="28"/>
      <c r="T44" s="25"/>
    </row>
    <row r="45" spans="1:20" s="19" customFormat="1" ht="15.75" x14ac:dyDescent="0.2">
      <c r="A45" s="113" t="s">
        <v>90</v>
      </c>
      <c r="B45" s="21"/>
      <c r="C45" s="21" t="s">
        <v>62</v>
      </c>
      <c r="D45" s="92" t="s">
        <v>66</v>
      </c>
      <c r="E45" s="23"/>
      <c r="F45" s="23" t="s">
        <v>120</v>
      </c>
      <c r="G45" s="31">
        <f>K7</f>
        <v>41153</v>
      </c>
      <c r="H45" s="116">
        <f t="shared" si="3"/>
        <v>41158</v>
      </c>
      <c r="I45" s="24"/>
      <c r="J45" s="118">
        <v>5</v>
      </c>
      <c r="K45" s="117" t="str">
        <f t="shared" si="4"/>
        <v/>
      </c>
      <c r="L45" s="117" t="str">
        <f t="shared" si="5"/>
        <v>X</v>
      </c>
      <c r="M45" s="117" t="str">
        <f t="shared" si="6"/>
        <v/>
      </c>
      <c r="N45" s="25"/>
      <c r="O45" s="26"/>
      <c r="P45" s="18"/>
      <c r="Q45" s="27"/>
      <c r="R45" s="22"/>
      <c r="S45" s="28"/>
      <c r="T45" s="25"/>
    </row>
    <row r="46" spans="1:20" s="19" customFormat="1" ht="19.5" customHeight="1" x14ac:dyDescent="0.2">
      <c r="A46" s="113" t="s">
        <v>91</v>
      </c>
      <c r="B46" s="21"/>
      <c r="C46" s="21" t="s">
        <v>62</v>
      </c>
      <c r="D46" s="92" t="s">
        <v>67</v>
      </c>
      <c r="E46" s="23"/>
      <c r="F46" s="23" t="s">
        <v>120</v>
      </c>
      <c r="G46" s="31">
        <f>K7</f>
        <v>41153</v>
      </c>
      <c r="H46" s="116">
        <f t="shared" si="3"/>
        <v>41163</v>
      </c>
      <c r="I46" s="24"/>
      <c r="J46" s="118">
        <v>10</v>
      </c>
      <c r="K46" s="117" t="str">
        <f t="shared" si="4"/>
        <v/>
      </c>
      <c r="L46" s="117" t="str">
        <f t="shared" si="5"/>
        <v>X</v>
      </c>
      <c r="M46" s="117" t="str">
        <f t="shared" si="6"/>
        <v/>
      </c>
      <c r="N46" s="25"/>
      <c r="O46" s="26"/>
      <c r="P46" s="18"/>
      <c r="Q46" s="27"/>
      <c r="R46" s="22"/>
      <c r="S46" s="28"/>
      <c r="T46" s="25"/>
    </row>
    <row r="47" spans="1:20" s="19" customFormat="1" ht="15.75" x14ac:dyDescent="0.2">
      <c r="A47" s="113" t="s">
        <v>92</v>
      </c>
      <c r="B47" s="21"/>
      <c r="C47" s="21" t="s">
        <v>62</v>
      </c>
      <c r="D47" s="92" t="s">
        <v>68</v>
      </c>
      <c r="E47" s="23"/>
      <c r="F47" s="23" t="s">
        <v>120</v>
      </c>
      <c r="G47" s="31">
        <f>K7</f>
        <v>41153</v>
      </c>
      <c r="H47" s="116">
        <f t="shared" si="3"/>
        <v>41158</v>
      </c>
      <c r="I47" s="24"/>
      <c r="J47" s="118">
        <v>5</v>
      </c>
      <c r="K47" s="117" t="str">
        <f t="shared" si="4"/>
        <v/>
      </c>
      <c r="L47" s="117" t="str">
        <f t="shared" si="5"/>
        <v>X</v>
      </c>
      <c r="M47" s="117" t="str">
        <f t="shared" si="6"/>
        <v/>
      </c>
      <c r="N47" s="25"/>
      <c r="O47" s="26"/>
      <c r="P47" s="18"/>
      <c r="Q47" s="27"/>
      <c r="R47" s="22"/>
      <c r="S47" s="28"/>
      <c r="T47" s="25"/>
    </row>
    <row r="48" spans="1:20" s="19" customFormat="1" ht="15.75" x14ac:dyDescent="0.2">
      <c r="A48" s="113" t="s">
        <v>93</v>
      </c>
      <c r="B48" s="21"/>
      <c r="C48" s="21" t="s">
        <v>62</v>
      </c>
      <c r="D48" s="92" t="s">
        <v>69</v>
      </c>
      <c r="E48" s="23"/>
      <c r="F48" s="23" t="s">
        <v>120</v>
      </c>
      <c r="G48" s="31">
        <f>K7</f>
        <v>41153</v>
      </c>
      <c r="H48" s="116">
        <f t="shared" si="3"/>
        <v>41158</v>
      </c>
      <c r="I48" s="24"/>
      <c r="J48" s="118">
        <v>5</v>
      </c>
      <c r="K48" s="117" t="str">
        <f t="shared" si="4"/>
        <v/>
      </c>
      <c r="L48" s="117" t="str">
        <f t="shared" si="5"/>
        <v>X</v>
      </c>
      <c r="M48" s="117" t="str">
        <f t="shared" si="6"/>
        <v/>
      </c>
      <c r="N48" s="25"/>
      <c r="O48" s="26"/>
      <c r="P48" s="18"/>
      <c r="Q48" s="27"/>
      <c r="R48" s="22"/>
      <c r="S48" s="28"/>
      <c r="T48" s="25"/>
    </row>
    <row r="49" spans="1:20" s="19" customFormat="1" ht="15.75" x14ac:dyDescent="0.2">
      <c r="A49" s="113" t="s">
        <v>94</v>
      </c>
      <c r="B49" s="21"/>
      <c r="C49" s="21" t="s">
        <v>62</v>
      </c>
      <c r="D49" s="92" t="s">
        <v>70</v>
      </c>
      <c r="E49" s="23"/>
      <c r="F49" s="23" t="s">
        <v>120</v>
      </c>
      <c r="G49" s="31">
        <f>K7</f>
        <v>41153</v>
      </c>
      <c r="H49" s="116">
        <f t="shared" si="3"/>
        <v>41153</v>
      </c>
      <c r="I49" s="24"/>
      <c r="J49" s="118">
        <v>0</v>
      </c>
      <c r="K49" s="117" t="str">
        <f t="shared" si="4"/>
        <v>X</v>
      </c>
      <c r="L49" s="117" t="str">
        <f t="shared" si="5"/>
        <v>X</v>
      </c>
      <c r="M49" s="117" t="str">
        <f t="shared" si="6"/>
        <v/>
      </c>
      <c r="N49" s="25"/>
      <c r="O49" s="26"/>
      <c r="P49" s="18"/>
      <c r="Q49" s="27"/>
      <c r="R49" s="22"/>
      <c r="S49" s="28"/>
      <c r="T49" s="25"/>
    </row>
    <row r="50" spans="1:20" s="19" customFormat="1" ht="15.75" x14ac:dyDescent="0.2">
      <c r="A50" s="112" t="s">
        <v>95</v>
      </c>
      <c r="B50" s="93"/>
      <c r="C50" s="93" t="s">
        <v>62</v>
      </c>
      <c r="D50" s="94" t="s">
        <v>71</v>
      </c>
      <c r="E50" s="95"/>
      <c r="F50" s="95" t="s">
        <v>120</v>
      </c>
      <c r="G50" s="96">
        <f>K7</f>
        <v>41153</v>
      </c>
      <c r="H50" s="96">
        <f t="shared" si="3"/>
        <v>41158</v>
      </c>
      <c r="I50" s="97"/>
      <c r="J50" s="98">
        <v>5</v>
      </c>
      <c r="K50" s="99" t="str">
        <f t="shared" si="4"/>
        <v/>
      </c>
      <c r="L50" s="99" t="str">
        <f t="shared" si="5"/>
        <v>X</v>
      </c>
      <c r="M50" s="99" t="str">
        <f t="shared" si="6"/>
        <v/>
      </c>
      <c r="N50" s="95"/>
      <c r="O50" s="100"/>
      <c r="P50" s="103"/>
      <c r="Q50" s="101"/>
      <c r="R50" s="101"/>
      <c r="S50" s="102"/>
      <c r="T50" s="95"/>
    </row>
    <row r="51" spans="1:20" s="19" customFormat="1" ht="15.75" x14ac:dyDescent="0.2">
      <c r="A51" s="113" t="s">
        <v>96</v>
      </c>
      <c r="B51" s="21" t="s">
        <v>64</v>
      </c>
      <c r="C51" s="21" t="s">
        <v>62</v>
      </c>
      <c r="D51" s="92" t="s">
        <v>72</v>
      </c>
      <c r="E51" s="23"/>
      <c r="F51" s="23" t="s">
        <v>120</v>
      </c>
      <c r="G51" s="31">
        <f>K7</f>
        <v>41153</v>
      </c>
      <c r="H51" s="116">
        <f t="shared" si="3"/>
        <v>41158</v>
      </c>
      <c r="I51" s="24"/>
      <c r="J51" s="118">
        <v>5</v>
      </c>
      <c r="K51" s="117" t="str">
        <f t="shared" si="4"/>
        <v/>
      </c>
      <c r="L51" s="117" t="str">
        <f t="shared" si="5"/>
        <v>X</v>
      </c>
      <c r="M51" s="117" t="str">
        <f t="shared" si="6"/>
        <v/>
      </c>
      <c r="N51" s="25"/>
      <c r="O51" s="26"/>
      <c r="P51" s="18"/>
      <c r="Q51" s="27"/>
      <c r="R51" s="22"/>
      <c r="S51" s="28"/>
      <c r="T51" s="25"/>
    </row>
    <row r="52" spans="1:20" s="19" customFormat="1" ht="15.75" x14ac:dyDescent="0.2">
      <c r="A52" s="113" t="s">
        <v>97</v>
      </c>
      <c r="B52" s="21" t="s">
        <v>64</v>
      </c>
      <c r="C52" s="21" t="s">
        <v>62</v>
      </c>
      <c r="D52" s="92" t="s">
        <v>73</v>
      </c>
      <c r="E52" s="23"/>
      <c r="F52" s="23" t="s">
        <v>120</v>
      </c>
      <c r="G52" s="31">
        <f>K7</f>
        <v>41153</v>
      </c>
      <c r="H52" s="116">
        <f t="shared" si="3"/>
        <v>41158</v>
      </c>
      <c r="I52" s="24"/>
      <c r="J52" s="118">
        <v>5</v>
      </c>
      <c r="K52" s="117" t="str">
        <f t="shared" si="4"/>
        <v/>
      </c>
      <c r="L52" s="117" t="str">
        <f t="shared" si="5"/>
        <v>X</v>
      </c>
      <c r="M52" s="117" t="str">
        <f t="shared" si="6"/>
        <v/>
      </c>
      <c r="N52" s="25"/>
      <c r="O52" s="26"/>
      <c r="P52" s="18"/>
      <c r="Q52" s="27"/>
      <c r="R52" s="22"/>
      <c r="S52" s="28"/>
      <c r="T52" s="25"/>
    </row>
    <row r="53" spans="1:20" s="19" customFormat="1" ht="15.75" x14ac:dyDescent="0.2">
      <c r="A53" s="113" t="s">
        <v>98</v>
      </c>
      <c r="B53" s="21"/>
      <c r="C53" s="21" t="s">
        <v>62</v>
      </c>
      <c r="D53" s="92" t="s">
        <v>74</v>
      </c>
      <c r="E53" s="23"/>
      <c r="F53" s="23" t="s">
        <v>120</v>
      </c>
      <c r="G53" s="31">
        <f>K7</f>
        <v>41153</v>
      </c>
      <c r="H53" s="116">
        <f t="shared" si="3"/>
        <v>41158</v>
      </c>
      <c r="I53" s="24"/>
      <c r="J53" s="118">
        <v>5</v>
      </c>
      <c r="K53" s="117" t="str">
        <f t="shared" si="4"/>
        <v/>
      </c>
      <c r="L53" s="117" t="str">
        <f t="shared" si="5"/>
        <v>X</v>
      </c>
      <c r="M53" s="117" t="str">
        <f t="shared" si="6"/>
        <v/>
      </c>
      <c r="N53" s="25"/>
      <c r="O53" s="26"/>
      <c r="P53" s="18"/>
      <c r="Q53" s="27"/>
      <c r="R53" s="22"/>
      <c r="S53" s="28"/>
      <c r="T53" s="25"/>
    </row>
    <row r="54" spans="1:20" s="19" customFormat="1" ht="15.75" x14ac:dyDescent="0.2">
      <c r="A54" s="112" t="s">
        <v>99</v>
      </c>
      <c r="B54" s="93"/>
      <c r="C54" s="93" t="s">
        <v>62</v>
      </c>
      <c r="D54" s="94" t="s">
        <v>75</v>
      </c>
      <c r="E54" s="95"/>
      <c r="F54" s="95" t="s">
        <v>120</v>
      </c>
      <c r="G54" s="96">
        <f>K7</f>
        <v>41153</v>
      </c>
      <c r="H54" s="96">
        <f>G54+J54</f>
        <v>41158</v>
      </c>
      <c r="I54" s="97"/>
      <c r="J54" s="98">
        <v>5</v>
      </c>
      <c r="K54" s="99" t="str">
        <f t="shared" si="4"/>
        <v/>
      </c>
      <c r="L54" s="99" t="str">
        <f t="shared" si="5"/>
        <v>X</v>
      </c>
      <c r="M54" s="99" t="str">
        <f t="shared" si="6"/>
        <v/>
      </c>
      <c r="N54" s="95"/>
      <c r="O54" s="100"/>
      <c r="P54" s="103"/>
      <c r="Q54" s="101"/>
      <c r="R54" s="101"/>
      <c r="S54" s="102"/>
      <c r="T54" s="95"/>
    </row>
    <row r="55" spans="1:20" s="19" customFormat="1" ht="15.75" x14ac:dyDescent="0.2">
      <c r="A55" s="113" t="s">
        <v>100</v>
      </c>
      <c r="B55" s="21"/>
      <c r="C55" s="21" t="s">
        <v>62</v>
      </c>
      <c r="D55" s="92" t="s">
        <v>76</v>
      </c>
      <c r="E55" s="23"/>
      <c r="F55" s="23" t="s">
        <v>120</v>
      </c>
      <c r="G55" s="31">
        <f>K7</f>
        <v>41153</v>
      </c>
      <c r="H55" s="116">
        <f t="shared" si="3"/>
        <v>41158</v>
      </c>
      <c r="I55" s="24"/>
      <c r="J55" s="118">
        <v>5</v>
      </c>
      <c r="K55" s="117" t="str">
        <f t="shared" si="4"/>
        <v/>
      </c>
      <c r="L55" s="117" t="str">
        <f t="shared" si="5"/>
        <v>X</v>
      </c>
      <c r="M55" s="117" t="str">
        <f t="shared" si="6"/>
        <v/>
      </c>
      <c r="N55" s="25"/>
      <c r="O55" s="26"/>
      <c r="P55" s="18"/>
      <c r="Q55" s="27"/>
      <c r="R55" s="22"/>
      <c r="S55" s="28"/>
      <c r="T55" s="25"/>
    </row>
    <row r="56" spans="1:20" s="19" customFormat="1" ht="15.75" x14ac:dyDescent="0.2">
      <c r="A56" s="113" t="s">
        <v>101</v>
      </c>
      <c r="B56" s="21"/>
      <c r="C56" s="21" t="s">
        <v>62</v>
      </c>
      <c r="D56" s="92" t="s">
        <v>77</v>
      </c>
      <c r="E56" s="23"/>
      <c r="F56" s="23" t="s">
        <v>120</v>
      </c>
      <c r="G56" s="31">
        <f>K7</f>
        <v>41153</v>
      </c>
      <c r="H56" s="116">
        <f t="shared" si="3"/>
        <v>41158</v>
      </c>
      <c r="I56" s="24"/>
      <c r="J56" s="118">
        <v>5</v>
      </c>
      <c r="K56" s="117" t="str">
        <f t="shared" si="4"/>
        <v/>
      </c>
      <c r="L56" s="117" t="str">
        <f t="shared" si="5"/>
        <v>X</v>
      </c>
      <c r="M56" s="117" t="str">
        <f t="shared" si="6"/>
        <v/>
      </c>
      <c r="N56" s="25"/>
      <c r="O56" s="26"/>
      <c r="P56" s="18"/>
      <c r="Q56" s="27"/>
      <c r="R56" s="22"/>
      <c r="S56" s="28"/>
      <c r="T56" s="25"/>
    </row>
    <row r="57" spans="1:20" s="19" customFormat="1" ht="15.75" x14ac:dyDescent="0.2">
      <c r="A57" s="113" t="s">
        <v>102</v>
      </c>
      <c r="B57" s="21"/>
      <c r="C57" s="21" t="s">
        <v>62</v>
      </c>
      <c r="D57" s="92" t="s">
        <v>78</v>
      </c>
      <c r="E57" s="23"/>
      <c r="F57" s="23" t="s">
        <v>120</v>
      </c>
      <c r="G57" s="31">
        <f>K7</f>
        <v>41153</v>
      </c>
      <c r="H57" s="116">
        <f t="shared" si="3"/>
        <v>41158</v>
      </c>
      <c r="I57" s="24"/>
      <c r="J57" s="118">
        <v>5</v>
      </c>
      <c r="K57" s="117" t="str">
        <f t="shared" si="4"/>
        <v/>
      </c>
      <c r="L57" s="117" t="str">
        <f t="shared" si="5"/>
        <v>X</v>
      </c>
      <c r="M57" s="117" t="str">
        <f t="shared" si="6"/>
        <v/>
      </c>
      <c r="N57" s="25"/>
      <c r="O57" s="26"/>
      <c r="P57" s="18"/>
      <c r="Q57" s="27"/>
      <c r="R57" s="22"/>
      <c r="S57" s="28"/>
      <c r="T57" s="25"/>
    </row>
    <row r="58" spans="1:20" s="19" customFormat="1" ht="15.75" x14ac:dyDescent="0.2">
      <c r="A58" s="112" t="s">
        <v>103</v>
      </c>
      <c r="B58" s="93"/>
      <c r="C58" s="93" t="s">
        <v>62</v>
      </c>
      <c r="D58" s="94" t="s">
        <v>79</v>
      </c>
      <c r="E58" s="95"/>
      <c r="F58" s="95" t="s">
        <v>120</v>
      </c>
      <c r="G58" s="96">
        <f>K7</f>
        <v>41153</v>
      </c>
      <c r="H58" s="96">
        <f>G58+J58</f>
        <v>41158</v>
      </c>
      <c r="I58" s="97"/>
      <c r="J58" s="98">
        <v>5</v>
      </c>
      <c r="K58" s="99" t="str">
        <f t="shared" si="4"/>
        <v/>
      </c>
      <c r="L58" s="99" t="str">
        <f t="shared" si="5"/>
        <v>X</v>
      </c>
      <c r="M58" s="99" t="str">
        <f t="shared" si="6"/>
        <v/>
      </c>
      <c r="N58" s="95"/>
      <c r="O58" s="100"/>
      <c r="P58" s="103"/>
      <c r="Q58" s="101"/>
      <c r="R58" s="101"/>
      <c r="S58" s="102"/>
      <c r="T58" s="95"/>
    </row>
    <row r="59" spans="1:20" s="19" customFormat="1" ht="15.75" x14ac:dyDescent="0.2">
      <c r="A59" s="113" t="s">
        <v>104</v>
      </c>
      <c r="B59" s="21"/>
      <c r="C59" s="21" t="s">
        <v>62</v>
      </c>
      <c r="D59" s="92" t="s">
        <v>80</v>
      </c>
      <c r="E59" s="23"/>
      <c r="F59" s="23" t="s">
        <v>120</v>
      </c>
      <c r="G59" s="31">
        <f>K7</f>
        <v>41153</v>
      </c>
      <c r="H59" s="116">
        <f t="shared" si="3"/>
        <v>41154</v>
      </c>
      <c r="I59" s="24"/>
      <c r="J59" s="118">
        <v>1</v>
      </c>
      <c r="K59" s="117" t="str">
        <f t="shared" si="4"/>
        <v/>
      </c>
      <c r="L59" s="117" t="str">
        <f t="shared" si="5"/>
        <v>X</v>
      </c>
      <c r="M59" s="117" t="str">
        <f t="shared" si="6"/>
        <v/>
      </c>
      <c r="N59" s="25"/>
      <c r="O59" s="26"/>
      <c r="P59" s="18"/>
      <c r="Q59" s="27"/>
      <c r="R59" s="22"/>
      <c r="S59" s="28"/>
      <c r="T59" s="25"/>
    </row>
    <row r="60" spans="1:20" s="19" customFormat="1" ht="15.75" x14ac:dyDescent="0.2">
      <c r="A60" s="113" t="s">
        <v>105</v>
      </c>
      <c r="B60" s="21"/>
      <c r="C60" s="21" t="s">
        <v>62</v>
      </c>
      <c r="D60" s="92" t="s">
        <v>81</v>
      </c>
      <c r="E60" s="23"/>
      <c r="F60" s="23" t="s">
        <v>120</v>
      </c>
      <c r="G60" s="31">
        <f>K7</f>
        <v>41153</v>
      </c>
      <c r="H60" s="116">
        <f t="shared" si="3"/>
        <v>41158</v>
      </c>
      <c r="I60" s="24"/>
      <c r="J60" s="118">
        <v>5</v>
      </c>
      <c r="K60" s="117" t="str">
        <f t="shared" si="4"/>
        <v/>
      </c>
      <c r="L60" s="117" t="str">
        <f t="shared" si="5"/>
        <v>X</v>
      </c>
      <c r="M60" s="117" t="str">
        <f t="shared" si="6"/>
        <v/>
      </c>
      <c r="N60" s="25"/>
      <c r="O60" s="26"/>
      <c r="P60" s="18"/>
      <c r="Q60" s="27"/>
      <c r="R60" s="22"/>
      <c r="S60" s="28"/>
      <c r="T60" s="25"/>
    </row>
    <row r="61" spans="1:20" s="19" customFormat="1" ht="15.75" x14ac:dyDescent="0.2">
      <c r="A61" s="113" t="s">
        <v>106</v>
      </c>
      <c r="B61" s="21"/>
      <c r="C61" s="21" t="s">
        <v>62</v>
      </c>
      <c r="D61" s="92" t="s">
        <v>82</v>
      </c>
      <c r="E61" s="23"/>
      <c r="F61" s="23" t="s">
        <v>120</v>
      </c>
      <c r="G61" s="31">
        <f>K7</f>
        <v>41153</v>
      </c>
      <c r="H61" s="116">
        <f t="shared" si="3"/>
        <v>41158</v>
      </c>
      <c r="I61" s="24"/>
      <c r="J61" s="118">
        <v>5</v>
      </c>
      <c r="K61" s="117" t="str">
        <f t="shared" si="4"/>
        <v/>
      </c>
      <c r="L61" s="117" t="str">
        <f t="shared" si="5"/>
        <v>X</v>
      </c>
      <c r="M61" s="117" t="str">
        <f t="shared" si="6"/>
        <v/>
      </c>
      <c r="N61" s="25"/>
      <c r="O61" s="26"/>
      <c r="P61" s="18"/>
      <c r="Q61" s="27"/>
      <c r="R61" s="22"/>
      <c r="S61" s="28"/>
      <c r="T61" s="25"/>
    </row>
    <row r="62" spans="1:20" s="19" customFormat="1" ht="15.75" x14ac:dyDescent="0.2">
      <c r="A62" s="112" t="s">
        <v>107</v>
      </c>
      <c r="B62" s="93"/>
      <c r="C62" s="93" t="s">
        <v>62</v>
      </c>
      <c r="D62" s="94" t="s">
        <v>83</v>
      </c>
      <c r="E62" s="95"/>
      <c r="F62" s="95" t="s">
        <v>120</v>
      </c>
      <c r="G62" s="96">
        <f>K7</f>
        <v>41153</v>
      </c>
      <c r="H62" s="96">
        <f>G62+J62</f>
        <v>41158</v>
      </c>
      <c r="I62" s="97"/>
      <c r="J62" s="98">
        <v>5</v>
      </c>
      <c r="K62" s="99" t="str">
        <f t="shared" si="4"/>
        <v/>
      </c>
      <c r="L62" s="99" t="str">
        <f t="shared" si="5"/>
        <v>X</v>
      </c>
      <c r="M62" s="99" t="str">
        <f t="shared" si="6"/>
        <v/>
      </c>
      <c r="N62" s="95"/>
      <c r="O62" s="100"/>
      <c r="P62" s="103"/>
      <c r="Q62" s="101"/>
      <c r="R62" s="101"/>
      <c r="S62" s="102"/>
      <c r="T62" s="95"/>
    </row>
    <row r="63" spans="1:20" s="19" customFormat="1" ht="15.75" x14ac:dyDescent="0.2">
      <c r="A63" s="113" t="s">
        <v>108</v>
      </c>
      <c r="B63" s="21"/>
      <c r="C63" s="21" t="s">
        <v>62</v>
      </c>
      <c r="D63" s="92" t="s">
        <v>84</v>
      </c>
      <c r="E63" s="23"/>
      <c r="F63" s="23" t="s">
        <v>120</v>
      </c>
      <c r="G63" s="31">
        <f>K7</f>
        <v>41153</v>
      </c>
      <c r="H63" s="116">
        <f t="shared" si="3"/>
        <v>41158</v>
      </c>
      <c r="I63" s="24"/>
      <c r="J63" s="118">
        <v>5</v>
      </c>
      <c r="K63" s="117" t="str">
        <f t="shared" si="4"/>
        <v/>
      </c>
      <c r="L63" s="117" t="str">
        <f t="shared" si="5"/>
        <v>X</v>
      </c>
      <c r="M63" s="117" t="str">
        <f t="shared" si="6"/>
        <v/>
      </c>
      <c r="N63" s="25"/>
      <c r="O63" s="26"/>
      <c r="P63" s="18"/>
      <c r="Q63" s="27"/>
      <c r="R63" s="22"/>
      <c r="S63" s="28"/>
      <c r="T63" s="25"/>
    </row>
    <row r="64" spans="1:20" s="19" customFormat="1" ht="30" x14ac:dyDescent="0.2">
      <c r="A64" s="113" t="s">
        <v>109</v>
      </c>
      <c r="B64" s="21"/>
      <c r="C64" s="21" t="s">
        <v>62</v>
      </c>
      <c r="D64" s="92" t="s">
        <v>85</v>
      </c>
      <c r="E64" s="23"/>
      <c r="F64" s="23" t="s">
        <v>120</v>
      </c>
      <c r="G64" s="31">
        <f>K7</f>
        <v>41153</v>
      </c>
      <c r="H64" s="116">
        <f t="shared" si="3"/>
        <v>41158</v>
      </c>
      <c r="I64" s="24"/>
      <c r="J64" s="118">
        <v>5</v>
      </c>
      <c r="K64" s="117" t="str">
        <f t="shared" si="4"/>
        <v/>
      </c>
      <c r="L64" s="117" t="str">
        <f t="shared" si="5"/>
        <v>X</v>
      </c>
      <c r="M64" s="117" t="str">
        <f t="shared" si="6"/>
        <v/>
      </c>
      <c r="N64" s="25"/>
      <c r="O64" s="26"/>
      <c r="P64" s="18"/>
      <c r="Q64" s="27"/>
      <c r="R64" s="22"/>
      <c r="S64" s="28"/>
      <c r="T64" s="25"/>
    </row>
    <row r="65" spans="1:20" s="19" customFormat="1" ht="15.75" x14ac:dyDescent="0.2">
      <c r="A65" s="113" t="s">
        <v>110</v>
      </c>
      <c r="B65" s="21"/>
      <c r="C65" s="21" t="s">
        <v>62</v>
      </c>
      <c r="D65" s="92" t="s">
        <v>86</v>
      </c>
      <c r="E65" s="23"/>
      <c r="F65" s="23" t="s">
        <v>120</v>
      </c>
      <c r="G65" s="31">
        <f>K7</f>
        <v>41153</v>
      </c>
      <c r="H65" s="116">
        <f t="shared" si="3"/>
        <v>41158</v>
      </c>
      <c r="I65" s="24"/>
      <c r="J65" s="118">
        <v>5</v>
      </c>
      <c r="K65" s="117" t="str">
        <f t="shared" si="4"/>
        <v/>
      </c>
      <c r="L65" s="117" t="str">
        <f t="shared" si="5"/>
        <v>X</v>
      </c>
      <c r="M65" s="117" t="str">
        <f t="shared" si="6"/>
        <v/>
      </c>
      <c r="N65" s="25"/>
      <c r="O65" s="26"/>
      <c r="P65" s="18"/>
      <c r="Q65" s="27"/>
      <c r="R65" s="22"/>
      <c r="S65" s="28"/>
      <c r="T65" s="25"/>
    </row>
    <row r="66" spans="1:20" s="19" customFormat="1" ht="15.75" x14ac:dyDescent="0.2">
      <c r="A66" s="112" t="s">
        <v>64</v>
      </c>
      <c r="B66" s="93"/>
      <c r="C66" s="153" t="s">
        <v>62</v>
      </c>
      <c r="D66" s="94" t="s">
        <v>406</v>
      </c>
      <c r="E66" s="95"/>
      <c r="F66" s="95" t="s">
        <v>120</v>
      </c>
      <c r="G66" s="96">
        <f>K7</f>
        <v>41153</v>
      </c>
      <c r="H66" s="96">
        <f>G66+J66</f>
        <v>41158</v>
      </c>
      <c r="I66" s="97"/>
      <c r="J66" s="98">
        <v>5</v>
      </c>
      <c r="K66" s="99" t="str">
        <f t="shared" ref="K66:K70" si="7">IF(H66=0,"",IF(H66&lt;=$K$7, "X", ""))</f>
        <v/>
      </c>
      <c r="L66" s="99" t="str">
        <f t="shared" ref="L66:L70" si="8">IF(H66&lt;$K$7, "",IF(H66&lt;=$L$7,"X", ""))</f>
        <v>X</v>
      </c>
      <c r="M66" s="99" t="str">
        <f t="shared" ref="M66:M70" si="9">IF(H66&lt;$L$7, "",IF(H66&gt;$L$7,"X", ""))</f>
        <v/>
      </c>
      <c r="N66" s="95"/>
      <c r="O66" s="100"/>
      <c r="P66" s="103"/>
      <c r="Q66" s="101"/>
      <c r="R66" s="101"/>
      <c r="S66" s="102"/>
      <c r="T66" s="95"/>
    </row>
    <row r="67" spans="1:20" s="19" customFormat="1" ht="15.75" x14ac:dyDescent="0.2">
      <c r="A67" s="113" t="s">
        <v>64</v>
      </c>
      <c r="B67" s="21"/>
      <c r="C67" s="154" t="s">
        <v>62</v>
      </c>
      <c r="D67" s="92" t="s">
        <v>407</v>
      </c>
      <c r="E67" s="23"/>
      <c r="F67" s="23" t="s">
        <v>120</v>
      </c>
      <c r="G67" s="31">
        <f>K7</f>
        <v>41153</v>
      </c>
      <c r="H67" s="116">
        <f t="shared" ref="H67:H70" si="10">G67+J67</f>
        <v>41158</v>
      </c>
      <c r="I67" s="24"/>
      <c r="J67" s="118">
        <v>5</v>
      </c>
      <c r="K67" s="117" t="str">
        <f t="shared" si="7"/>
        <v/>
      </c>
      <c r="L67" s="117" t="str">
        <f t="shared" si="8"/>
        <v>X</v>
      </c>
      <c r="M67" s="117" t="str">
        <f t="shared" si="9"/>
        <v/>
      </c>
      <c r="N67" s="25"/>
      <c r="O67" s="26"/>
      <c r="P67" s="18"/>
      <c r="Q67" s="27"/>
      <c r="R67" s="22"/>
      <c r="S67" s="28"/>
      <c r="T67" s="25"/>
    </row>
    <row r="68" spans="1:20" s="19" customFormat="1" ht="15.75" x14ac:dyDescent="0.2">
      <c r="A68" s="113" t="s">
        <v>64</v>
      </c>
      <c r="B68" s="21"/>
      <c r="C68" s="154" t="s">
        <v>62</v>
      </c>
      <c r="D68" s="92" t="s">
        <v>408</v>
      </c>
      <c r="E68" s="23"/>
      <c r="F68" s="23" t="s">
        <v>120</v>
      </c>
      <c r="G68" s="31">
        <f>K7</f>
        <v>41153</v>
      </c>
      <c r="H68" s="116">
        <f t="shared" si="10"/>
        <v>41158</v>
      </c>
      <c r="I68" s="24"/>
      <c r="J68" s="118">
        <v>5</v>
      </c>
      <c r="K68" s="117" t="str">
        <f t="shared" si="7"/>
        <v/>
      </c>
      <c r="L68" s="117" t="str">
        <f t="shared" si="8"/>
        <v>X</v>
      </c>
      <c r="M68" s="117" t="str">
        <f t="shared" si="9"/>
        <v/>
      </c>
      <c r="N68" s="25"/>
      <c r="O68" s="26"/>
      <c r="P68" s="18"/>
      <c r="Q68" s="27"/>
      <c r="R68" s="22"/>
      <c r="S68" s="28"/>
      <c r="T68" s="25"/>
    </row>
    <row r="69" spans="1:20" s="19" customFormat="1" ht="15.75" x14ac:dyDescent="0.2">
      <c r="A69" s="113"/>
      <c r="B69" s="21"/>
      <c r="C69" s="154" t="s">
        <v>62</v>
      </c>
      <c r="D69" s="92" t="s">
        <v>409</v>
      </c>
      <c r="E69" s="23"/>
      <c r="F69" s="23" t="s">
        <v>120</v>
      </c>
      <c r="G69" s="31">
        <f>K7</f>
        <v>41153</v>
      </c>
      <c r="H69" s="116">
        <f t="shared" si="10"/>
        <v>41158</v>
      </c>
      <c r="I69" s="24"/>
      <c r="J69" s="118">
        <v>5</v>
      </c>
      <c r="K69" s="117" t="str">
        <f t="shared" si="7"/>
        <v/>
      </c>
      <c r="L69" s="117" t="str">
        <f t="shared" si="8"/>
        <v>X</v>
      </c>
      <c r="M69" s="117" t="str">
        <f t="shared" si="9"/>
        <v/>
      </c>
      <c r="N69" s="25"/>
      <c r="O69" s="26"/>
      <c r="P69" s="18"/>
      <c r="Q69" s="27"/>
      <c r="R69" s="22"/>
      <c r="S69" s="28"/>
      <c r="T69" s="25"/>
    </row>
    <row r="70" spans="1:20" s="19" customFormat="1" ht="15.75" x14ac:dyDescent="0.2">
      <c r="A70" s="113" t="s">
        <v>64</v>
      </c>
      <c r="B70" s="21"/>
      <c r="C70" s="154" t="s">
        <v>62</v>
      </c>
      <c r="D70" s="92" t="s">
        <v>410</v>
      </c>
      <c r="E70" s="23"/>
      <c r="F70" s="23" t="s">
        <v>120</v>
      </c>
      <c r="G70" s="31">
        <f>K7</f>
        <v>41153</v>
      </c>
      <c r="H70" s="116">
        <f t="shared" si="10"/>
        <v>41158</v>
      </c>
      <c r="I70" s="24"/>
      <c r="J70" s="118">
        <v>5</v>
      </c>
      <c r="K70" s="117" t="str">
        <f t="shared" si="7"/>
        <v/>
      </c>
      <c r="L70" s="117" t="str">
        <f t="shared" si="8"/>
        <v>X</v>
      </c>
      <c r="M70" s="117" t="str">
        <f t="shared" si="9"/>
        <v/>
      </c>
      <c r="N70" s="25"/>
      <c r="O70" s="26"/>
      <c r="P70" s="18"/>
      <c r="Q70" s="27"/>
      <c r="R70" s="22"/>
      <c r="S70" s="28"/>
      <c r="T70" s="25"/>
    </row>
    <row r="71" spans="1:20" s="19" customFormat="1" ht="15.75" x14ac:dyDescent="0.2">
      <c r="A71" s="112" t="s">
        <v>64</v>
      </c>
      <c r="B71" s="93"/>
      <c r="C71" s="153" t="s">
        <v>62</v>
      </c>
      <c r="D71" s="94" t="s">
        <v>414</v>
      </c>
      <c r="E71" s="95"/>
      <c r="F71" s="95" t="s">
        <v>120</v>
      </c>
      <c r="G71" s="96"/>
      <c r="H71" s="96"/>
      <c r="I71" s="97"/>
      <c r="J71" s="98">
        <v>5</v>
      </c>
      <c r="K71" s="99" t="str">
        <f t="shared" ref="K71:K74" si="11">IF(H71=0,"",IF(H71&lt;=$K$7, "X", ""))</f>
        <v/>
      </c>
      <c r="L71" s="99" t="str">
        <f t="shared" ref="L71:L74" si="12">IF(H71&lt;$K$7, "",IF(H71&lt;=$L$7,"X", ""))</f>
        <v/>
      </c>
      <c r="M71" s="99" t="str">
        <f t="shared" ref="M71:M74" si="13">IF(H71&lt;$L$7, "",IF(H71&gt;$L$7,"X", ""))</f>
        <v/>
      </c>
      <c r="N71" s="95"/>
      <c r="O71" s="100"/>
      <c r="P71" s="103"/>
      <c r="Q71" s="101"/>
      <c r="R71" s="101"/>
      <c r="S71" s="102"/>
      <c r="T71" s="95"/>
    </row>
    <row r="72" spans="1:20" s="19" customFormat="1" ht="15.75" x14ac:dyDescent="0.2">
      <c r="A72" s="113" t="s">
        <v>64</v>
      </c>
      <c r="B72" s="21"/>
      <c r="C72" s="154" t="s">
        <v>62</v>
      </c>
      <c r="D72" s="92" t="s">
        <v>415</v>
      </c>
      <c r="E72" s="23"/>
      <c r="F72" s="23" t="s">
        <v>120</v>
      </c>
      <c r="G72" s="31"/>
      <c r="H72" s="116"/>
      <c r="I72" s="24"/>
      <c r="J72" s="118">
        <v>5</v>
      </c>
      <c r="K72" s="117" t="str">
        <f t="shared" si="11"/>
        <v/>
      </c>
      <c r="L72" s="117" t="str">
        <f t="shared" si="12"/>
        <v/>
      </c>
      <c r="M72" s="117" t="str">
        <f t="shared" si="13"/>
        <v/>
      </c>
      <c r="N72" s="25"/>
      <c r="O72" s="26"/>
      <c r="P72" s="18"/>
      <c r="Q72" s="27"/>
      <c r="R72" s="22"/>
      <c r="S72" s="28"/>
      <c r="T72" s="25"/>
    </row>
    <row r="73" spans="1:20" s="19" customFormat="1" ht="15.75" x14ac:dyDescent="0.2">
      <c r="A73" s="113" t="s">
        <v>64</v>
      </c>
      <c r="B73" s="21"/>
      <c r="C73" s="154" t="s">
        <v>62</v>
      </c>
      <c r="D73" s="92" t="s">
        <v>416</v>
      </c>
      <c r="E73" s="23"/>
      <c r="F73" s="23" t="s">
        <v>120</v>
      </c>
      <c r="G73" s="31"/>
      <c r="H73" s="116"/>
      <c r="I73" s="24"/>
      <c r="J73" s="118">
        <v>5</v>
      </c>
      <c r="K73" s="117" t="str">
        <f t="shared" si="11"/>
        <v/>
      </c>
      <c r="L73" s="117" t="str">
        <f t="shared" si="12"/>
        <v/>
      </c>
      <c r="M73" s="117" t="str">
        <f t="shared" si="13"/>
        <v/>
      </c>
      <c r="N73" s="25"/>
      <c r="O73" s="26"/>
      <c r="P73" s="18"/>
      <c r="Q73" s="27"/>
      <c r="R73" s="22"/>
      <c r="S73" s="28"/>
      <c r="T73" s="25"/>
    </row>
    <row r="74" spans="1:20" s="19" customFormat="1" ht="15.75" x14ac:dyDescent="0.2">
      <c r="A74" s="113"/>
      <c r="B74" s="21"/>
      <c r="C74" s="154" t="s">
        <v>62</v>
      </c>
      <c r="D74" s="92" t="s">
        <v>417</v>
      </c>
      <c r="E74" s="23"/>
      <c r="F74" s="23" t="s">
        <v>120</v>
      </c>
      <c r="G74" s="31"/>
      <c r="H74" s="116"/>
      <c r="I74" s="24"/>
      <c r="J74" s="118">
        <v>5</v>
      </c>
      <c r="K74" s="117" t="str">
        <f t="shared" si="11"/>
        <v/>
      </c>
      <c r="L74" s="117" t="str">
        <f t="shared" si="12"/>
        <v/>
      </c>
      <c r="M74" s="117" t="str">
        <f t="shared" si="13"/>
        <v/>
      </c>
      <c r="N74" s="25"/>
      <c r="O74" s="26"/>
      <c r="P74" s="18"/>
      <c r="Q74" s="27"/>
      <c r="R74" s="22"/>
      <c r="S74" s="28"/>
      <c r="T74" s="25"/>
    </row>
    <row r="75" spans="1:20" s="19" customFormat="1" ht="15.75" x14ac:dyDescent="0.2">
      <c r="A75" s="113" t="s">
        <v>64</v>
      </c>
      <c r="B75" s="21"/>
      <c r="C75" s="154" t="s">
        <v>62</v>
      </c>
      <c r="D75" s="92" t="s">
        <v>411</v>
      </c>
      <c r="E75" s="23"/>
      <c r="F75" s="23" t="s">
        <v>120</v>
      </c>
      <c r="G75" s="31"/>
      <c r="H75" s="116"/>
      <c r="I75" s="24"/>
      <c r="J75" s="118">
        <v>5</v>
      </c>
      <c r="K75" s="117" t="str">
        <f t="shared" ref="K75:K79" si="14">IF(H75=0,"",IF(H75&lt;=$K$7, "X", ""))</f>
        <v/>
      </c>
      <c r="L75" s="117" t="str">
        <f t="shared" ref="L75:L79" si="15">IF(H75&lt;$K$7, "",IF(H75&lt;=$L$7,"X", ""))</f>
        <v/>
      </c>
      <c r="M75" s="117" t="str">
        <f t="shared" ref="M75:M79" si="16">IF(H75&lt;$L$7, "",IF(H75&gt;$L$7,"X", ""))</f>
        <v/>
      </c>
      <c r="N75" s="25"/>
      <c r="O75" s="26"/>
      <c r="P75" s="18"/>
      <c r="Q75" s="27"/>
      <c r="R75" s="22"/>
      <c r="S75" s="28"/>
      <c r="T75" s="25"/>
    </row>
    <row r="76" spans="1:20" s="19" customFormat="1" ht="15.75" x14ac:dyDescent="0.2">
      <c r="A76" s="113" t="s">
        <v>64</v>
      </c>
      <c r="B76" s="21"/>
      <c r="C76" s="154" t="s">
        <v>62</v>
      </c>
      <c r="D76" s="92" t="s">
        <v>418</v>
      </c>
      <c r="E76" s="23"/>
      <c r="F76" s="23" t="s">
        <v>120</v>
      </c>
      <c r="G76" s="31"/>
      <c r="H76" s="116"/>
      <c r="I76" s="24"/>
      <c r="J76" s="118">
        <v>5</v>
      </c>
      <c r="K76" s="117" t="str">
        <f t="shared" ref="K76" si="17">IF(H76=0,"",IF(H76&lt;=$K$7, "X", ""))</f>
        <v/>
      </c>
      <c r="L76" s="117" t="str">
        <f t="shared" ref="L76" si="18">IF(H76&lt;$K$7, "",IF(H76&lt;=$L$7,"X", ""))</f>
        <v/>
      </c>
      <c r="M76" s="117" t="str">
        <f t="shared" ref="M76" si="19">IF(H76&lt;$L$7, "",IF(H76&gt;$L$7,"X", ""))</f>
        <v/>
      </c>
      <c r="N76" s="25"/>
      <c r="O76" s="26"/>
      <c r="P76" s="18"/>
      <c r="Q76" s="27"/>
      <c r="R76" s="22"/>
      <c r="S76" s="28"/>
      <c r="T76" s="25"/>
    </row>
    <row r="77" spans="1:20" s="19" customFormat="1" ht="15.75" x14ac:dyDescent="0.2">
      <c r="A77" s="113" t="s">
        <v>64</v>
      </c>
      <c r="B77" s="21"/>
      <c r="C77" s="154" t="s">
        <v>62</v>
      </c>
      <c r="D77" s="92" t="s">
        <v>412</v>
      </c>
      <c r="E77" s="23"/>
      <c r="F77" s="23" t="s">
        <v>120</v>
      </c>
      <c r="G77" s="31"/>
      <c r="H77" s="116"/>
      <c r="I77" s="24"/>
      <c r="J77" s="118">
        <v>5</v>
      </c>
      <c r="K77" s="117" t="str">
        <f t="shared" si="14"/>
        <v/>
      </c>
      <c r="L77" s="117" t="str">
        <f t="shared" si="15"/>
        <v/>
      </c>
      <c r="M77" s="117" t="str">
        <f t="shared" si="16"/>
        <v/>
      </c>
      <c r="N77" s="25"/>
      <c r="O77" s="26"/>
      <c r="P77" s="18"/>
      <c r="Q77" s="27"/>
      <c r="R77" s="22"/>
      <c r="S77" s="28"/>
      <c r="T77" s="25"/>
    </row>
    <row r="78" spans="1:20" s="19" customFormat="1" ht="15.75" x14ac:dyDescent="0.2">
      <c r="A78" s="113" t="s">
        <v>64</v>
      </c>
      <c r="B78" s="21"/>
      <c r="C78" s="154" t="s">
        <v>62</v>
      </c>
      <c r="D78" s="92" t="s">
        <v>413</v>
      </c>
      <c r="E78" s="23"/>
      <c r="F78" s="23" t="s">
        <v>120</v>
      </c>
      <c r="G78" s="31"/>
      <c r="H78" s="116"/>
      <c r="I78" s="24"/>
      <c r="J78" s="118">
        <v>5</v>
      </c>
      <c r="K78" s="117" t="str">
        <f t="shared" si="14"/>
        <v/>
      </c>
      <c r="L78" s="117" t="str">
        <f t="shared" si="15"/>
        <v/>
      </c>
      <c r="M78" s="117" t="str">
        <f t="shared" si="16"/>
        <v/>
      </c>
      <c r="N78" s="25"/>
      <c r="O78" s="26"/>
      <c r="P78" s="18"/>
      <c r="Q78" s="27"/>
      <c r="R78" s="22"/>
      <c r="S78" s="28"/>
      <c r="T78" s="25"/>
    </row>
    <row r="79" spans="1:20" s="19" customFormat="1" ht="15.75" x14ac:dyDescent="0.2">
      <c r="A79" s="112" t="s">
        <v>64</v>
      </c>
      <c r="B79" s="93"/>
      <c r="C79" s="153" t="s">
        <v>62</v>
      </c>
      <c r="D79" s="94" t="s">
        <v>419</v>
      </c>
      <c r="E79" s="95"/>
      <c r="F79" s="95" t="s">
        <v>120</v>
      </c>
      <c r="G79" s="96"/>
      <c r="H79" s="96"/>
      <c r="I79" s="97"/>
      <c r="J79" s="98">
        <v>5</v>
      </c>
      <c r="K79" s="99" t="str">
        <f t="shared" si="14"/>
        <v/>
      </c>
      <c r="L79" s="99" t="str">
        <f t="shared" si="15"/>
        <v/>
      </c>
      <c r="M79" s="99" t="str">
        <f t="shared" si="16"/>
        <v/>
      </c>
      <c r="N79" s="95"/>
      <c r="O79" s="100"/>
      <c r="P79" s="103"/>
      <c r="Q79" s="101"/>
      <c r="R79" s="101"/>
      <c r="S79" s="102"/>
      <c r="T79" s="95"/>
    </row>
    <row r="80" spans="1:20" s="19" customFormat="1" ht="15.75" x14ac:dyDescent="0.2">
      <c r="A80" s="141"/>
      <c r="B80" s="142"/>
      <c r="C80" s="148" t="s">
        <v>367</v>
      </c>
      <c r="D80" s="143" t="s">
        <v>368</v>
      </c>
      <c r="E80" s="144"/>
      <c r="F80" s="144" t="s">
        <v>369</v>
      </c>
      <c r="G80" s="96"/>
      <c r="H80" s="96"/>
      <c r="I80" s="96"/>
      <c r="J80" s="145"/>
      <c r="K80" s="146"/>
      <c r="L80" s="146"/>
      <c r="M80" s="146"/>
      <c r="N80" s="144"/>
      <c r="O80" s="101"/>
      <c r="P80" s="147"/>
      <c r="Q80" s="101"/>
      <c r="R80" s="101"/>
      <c r="S80" s="102"/>
      <c r="T80" s="144"/>
    </row>
    <row r="81" spans="1:20" s="19" customFormat="1" ht="15.75" x14ac:dyDescent="0.2">
      <c r="A81" s="113"/>
      <c r="B81" s="21"/>
      <c r="C81" s="150" t="s">
        <v>367</v>
      </c>
      <c r="D81" s="92" t="s">
        <v>370</v>
      </c>
      <c r="E81" s="23"/>
      <c r="F81" s="23" t="s">
        <v>369</v>
      </c>
      <c r="G81" s="31"/>
      <c r="H81" s="116"/>
      <c r="I81" s="24"/>
      <c r="J81" s="118"/>
      <c r="K81" s="117"/>
      <c r="L81" s="117"/>
      <c r="M81" s="117"/>
      <c r="N81" s="25"/>
      <c r="O81" s="26"/>
      <c r="P81" s="18"/>
      <c r="Q81" s="27"/>
      <c r="R81" s="22"/>
      <c r="S81" s="28"/>
      <c r="T81" s="25"/>
    </row>
    <row r="82" spans="1:20" s="19" customFormat="1" ht="15.75" x14ac:dyDescent="0.2">
      <c r="A82" s="113"/>
      <c r="B82" s="21"/>
      <c r="C82" s="150" t="s">
        <v>367</v>
      </c>
      <c r="D82" s="92" t="s">
        <v>371</v>
      </c>
      <c r="E82" s="23"/>
      <c r="F82" s="23" t="s">
        <v>369</v>
      </c>
      <c r="G82" s="31"/>
      <c r="H82" s="116"/>
      <c r="I82" s="24"/>
      <c r="J82" s="118"/>
      <c r="K82" s="117"/>
      <c r="L82" s="117"/>
      <c r="M82" s="117"/>
      <c r="N82" s="25"/>
      <c r="O82" s="26"/>
      <c r="P82" s="18"/>
      <c r="Q82" s="27"/>
      <c r="R82" s="22"/>
      <c r="S82" s="28"/>
      <c r="T82" s="25"/>
    </row>
    <row r="83" spans="1:20" s="19" customFormat="1" ht="15.75" x14ac:dyDescent="0.2">
      <c r="A83" s="113"/>
      <c r="B83" s="21"/>
      <c r="C83" s="150" t="s">
        <v>367</v>
      </c>
      <c r="D83" s="92" t="s">
        <v>372</v>
      </c>
      <c r="E83" s="23"/>
      <c r="F83" s="23" t="s">
        <v>369</v>
      </c>
      <c r="G83" s="31"/>
      <c r="H83" s="116"/>
      <c r="I83" s="24"/>
      <c r="J83" s="118"/>
      <c r="K83" s="117"/>
      <c r="L83" s="117"/>
      <c r="M83" s="117"/>
      <c r="N83" s="25"/>
      <c r="O83" s="26"/>
      <c r="P83" s="18"/>
      <c r="Q83" s="27"/>
      <c r="R83" s="22"/>
      <c r="S83" s="28"/>
      <c r="T83" s="25"/>
    </row>
    <row r="84" spans="1:20" s="19" customFormat="1" ht="15.75" x14ac:dyDescent="0.2">
      <c r="A84" s="113"/>
      <c r="B84" s="21"/>
      <c r="C84" s="150" t="s">
        <v>367</v>
      </c>
      <c r="D84" s="92" t="s">
        <v>373</v>
      </c>
      <c r="E84" s="23"/>
      <c r="F84" s="23" t="s">
        <v>369</v>
      </c>
      <c r="G84" s="31"/>
      <c r="H84" s="116"/>
      <c r="I84" s="24"/>
      <c r="J84" s="118"/>
      <c r="K84" s="117"/>
      <c r="L84" s="117"/>
      <c r="M84" s="117"/>
      <c r="N84" s="25"/>
      <c r="O84" s="26"/>
      <c r="P84" s="18"/>
      <c r="Q84" s="27"/>
      <c r="R84" s="22"/>
      <c r="S84" s="28"/>
      <c r="T84" s="25"/>
    </row>
    <row r="85" spans="1:20" s="19" customFormat="1" ht="15.75" x14ac:dyDescent="0.2">
      <c r="A85" s="113"/>
      <c r="B85" s="21"/>
      <c r="C85" s="150" t="s">
        <v>367</v>
      </c>
      <c r="D85" s="92" t="s">
        <v>461</v>
      </c>
      <c r="E85" s="23"/>
      <c r="F85" s="23"/>
      <c r="G85" s="31"/>
      <c r="H85" s="116"/>
      <c r="I85" s="24"/>
      <c r="J85" s="118"/>
      <c r="K85" s="117"/>
      <c r="L85" s="117"/>
      <c r="M85" s="117"/>
      <c r="N85" s="25"/>
      <c r="O85" s="26"/>
      <c r="P85" s="18"/>
      <c r="Q85" s="27"/>
      <c r="R85" s="22"/>
      <c r="S85" s="28"/>
      <c r="T85" s="25"/>
    </row>
    <row r="86" spans="1:20" s="19" customFormat="1" ht="15.75" x14ac:dyDescent="0.2">
      <c r="A86" s="113"/>
      <c r="B86" s="21"/>
      <c r="C86" s="150" t="s">
        <v>367</v>
      </c>
      <c r="D86" s="92" t="s">
        <v>374</v>
      </c>
      <c r="E86" s="23"/>
      <c r="F86" s="23" t="s">
        <v>369</v>
      </c>
      <c r="G86" s="31"/>
      <c r="H86" s="116"/>
      <c r="I86" s="24"/>
      <c r="J86" s="118"/>
      <c r="K86" s="117"/>
      <c r="L86" s="117"/>
      <c r="M86" s="117"/>
      <c r="N86" s="25"/>
      <c r="O86" s="26"/>
      <c r="P86" s="18"/>
      <c r="Q86" s="27"/>
      <c r="R86" s="22"/>
      <c r="S86" s="28"/>
      <c r="T86" s="25"/>
    </row>
    <row r="87" spans="1:20" s="103" customFormat="1" ht="15.75" x14ac:dyDescent="0.2">
      <c r="A87" s="180"/>
      <c r="B87" s="180"/>
      <c r="C87" s="180" t="s">
        <v>367</v>
      </c>
      <c r="D87" s="181" t="s">
        <v>459</v>
      </c>
      <c r="E87" s="182"/>
      <c r="F87" s="182" t="s">
        <v>121</v>
      </c>
      <c r="G87" s="116" t="e">
        <f>#REF!+91</f>
        <v>#REF!</v>
      </c>
      <c r="H87" s="116" t="e">
        <f t="shared" ref="H87" si="20">G87+J87</f>
        <v>#REF!</v>
      </c>
      <c r="I87" s="116"/>
      <c r="J87" s="183">
        <v>10</v>
      </c>
      <c r="K87" s="184" t="e">
        <f t="shared" ref="K87" si="21">IF(H87=0,"",IF(H87&lt;=$K$7, "X", ""))</f>
        <v>#REF!</v>
      </c>
      <c r="L87" s="184" t="e">
        <f t="shared" ref="L87" si="22">IF(H87&lt;$K$7, "",IF(H87&lt;=$L$7,"X", ""))</f>
        <v>#REF!</v>
      </c>
      <c r="M87" s="184" t="e">
        <f t="shared" ref="M87" si="23">IF(H87&lt;$L$7, "",IF(H87&gt;$L$7,"X", ""))</f>
        <v>#REF!</v>
      </c>
      <c r="N87" s="185"/>
      <c r="O87" s="186"/>
      <c r="Q87" s="147"/>
      <c r="R87" s="186"/>
      <c r="S87" s="147"/>
      <c r="T87" s="185"/>
    </row>
    <row r="88" spans="1:20" s="19" customFormat="1" ht="15.75" x14ac:dyDescent="0.2">
      <c r="A88" s="113"/>
      <c r="B88" s="21"/>
      <c r="C88" s="150" t="s">
        <v>367</v>
      </c>
      <c r="D88" s="92" t="s">
        <v>375</v>
      </c>
      <c r="E88" s="23"/>
      <c r="F88" s="23" t="s">
        <v>369</v>
      </c>
      <c r="G88" s="31"/>
      <c r="H88" s="116"/>
      <c r="I88" s="24"/>
      <c r="J88" s="118"/>
      <c r="K88" s="117"/>
      <c r="L88" s="117"/>
      <c r="M88" s="117"/>
      <c r="N88" s="25"/>
      <c r="O88" s="26"/>
      <c r="P88" s="18"/>
      <c r="Q88" s="27"/>
      <c r="R88" s="22"/>
      <c r="S88" s="28"/>
      <c r="T88" s="25"/>
    </row>
    <row r="89" spans="1:20" s="19" customFormat="1" ht="15.75" x14ac:dyDescent="0.2">
      <c r="A89" s="113"/>
      <c r="B89" s="21"/>
      <c r="C89" s="150" t="s">
        <v>367</v>
      </c>
      <c r="D89" s="92" t="s">
        <v>460</v>
      </c>
      <c r="E89" s="23"/>
      <c r="F89" s="23"/>
      <c r="G89" s="31"/>
      <c r="H89" s="116"/>
      <c r="I89" s="24"/>
      <c r="J89" s="118"/>
      <c r="K89" s="117"/>
      <c r="L89" s="117"/>
      <c r="M89" s="117"/>
      <c r="N89" s="25"/>
      <c r="O89" s="26"/>
      <c r="P89" s="18"/>
      <c r="Q89" s="27"/>
      <c r="R89" s="22"/>
      <c r="S89" s="28"/>
      <c r="T89" s="25"/>
    </row>
    <row r="90" spans="1:20" s="19" customFormat="1" ht="15.75" x14ac:dyDescent="0.2">
      <c r="A90" s="112"/>
      <c r="B90" s="93"/>
      <c r="C90" s="93" t="s">
        <v>367</v>
      </c>
      <c r="D90" s="94" t="s">
        <v>288</v>
      </c>
      <c r="E90" s="95"/>
      <c r="F90" s="95" t="s">
        <v>121</v>
      </c>
      <c r="G90" s="96" t="e">
        <f>#REF!+91</f>
        <v>#REF!</v>
      </c>
      <c r="H90" s="96" t="e">
        <f>G90+J90</f>
        <v>#REF!</v>
      </c>
      <c r="I90" s="97"/>
      <c r="J90" s="98">
        <v>150</v>
      </c>
      <c r="K90" s="99" t="e">
        <f t="shared" ref="K90:K97" si="24">IF(H90=0,"",IF(H90&lt;=$K$7, "X", ""))</f>
        <v>#REF!</v>
      </c>
      <c r="L90" s="99" t="e">
        <f t="shared" ref="L90:L97" si="25">IF(H90&lt;$K$7, "",IF(H90&lt;=$L$7,"X", ""))</f>
        <v>#REF!</v>
      </c>
      <c r="M90" s="99" t="e">
        <f t="shared" ref="M90:M97" si="26">IF(H90&lt;$L$7, "",IF(H90&gt;$L$7,"X", ""))</f>
        <v>#REF!</v>
      </c>
      <c r="N90" s="95"/>
      <c r="O90" s="100"/>
      <c r="P90" s="103"/>
      <c r="Q90" s="101"/>
      <c r="R90" s="101"/>
      <c r="S90" s="102"/>
      <c r="T90" s="95"/>
    </row>
    <row r="91" spans="1:20" s="103" customFormat="1" ht="15.75" x14ac:dyDescent="0.2">
      <c r="A91" s="180"/>
      <c r="B91" s="180"/>
      <c r="C91" s="180" t="s">
        <v>367</v>
      </c>
      <c r="D91" s="181" t="s">
        <v>289</v>
      </c>
      <c r="E91" s="182"/>
      <c r="F91" s="182" t="s">
        <v>311</v>
      </c>
      <c r="G91" s="116" t="e">
        <f>#REF!+30</f>
        <v>#REF!</v>
      </c>
      <c r="H91" s="116" t="e">
        <f t="shared" ref="H91:H97" si="27">G91+J91</f>
        <v>#REF!</v>
      </c>
      <c r="I91" s="116"/>
      <c r="J91" s="183">
        <v>15</v>
      </c>
      <c r="K91" s="184" t="e">
        <f t="shared" si="24"/>
        <v>#REF!</v>
      </c>
      <c r="L91" s="184" t="e">
        <f t="shared" si="25"/>
        <v>#REF!</v>
      </c>
      <c r="M91" s="184" t="e">
        <f t="shared" si="26"/>
        <v>#REF!</v>
      </c>
      <c r="N91" s="185"/>
      <c r="O91" s="186"/>
      <c r="Q91" s="147"/>
      <c r="R91" s="186"/>
      <c r="S91" s="147"/>
      <c r="T91" s="185"/>
    </row>
    <row r="92" spans="1:20" s="103" customFormat="1" ht="30" x14ac:dyDescent="0.2">
      <c r="A92" s="180"/>
      <c r="B92" s="180"/>
      <c r="C92" s="180" t="s">
        <v>367</v>
      </c>
      <c r="D92" s="181" t="s">
        <v>294</v>
      </c>
      <c r="E92" s="182"/>
      <c r="F92" s="182" t="s">
        <v>311</v>
      </c>
      <c r="G92" s="116" t="e">
        <f>#REF!+30</f>
        <v>#REF!</v>
      </c>
      <c r="H92" s="116" t="e">
        <f t="shared" si="27"/>
        <v>#REF!</v>
      </c>
      <c r="I92" s="116"/>
      <c r="J92" s="183">
        <v>15</v>
      </c>
      <c r="K92" s="184" t="e">
        <f t="shared" si="24"/>
        <v>#REF!</v>
      </c>
      <c r="L92" s="184" t="e">
        <f t="shared" si="25"/>
        <v>#REF!</v>
      </c>
      <c r="M92" s="184" t="e">
        <f t="shared" si="26"/>
        <v>#REF!</v>
      </c>
      <c r="N92" s="185"/>
      <c r="O92" s="186"/>
      <c r="Q92" s="147"/>
      <c r="R92" s="186"/>
      <c r="S92" s="147"/>
      <c r="T92" s="185"/>
    </row>
    <row r="93" spans="1:20" s="103" customFormat="1" ht="15.75" x14ac:dyDescent="0.2">
      <c r="A93" s="180"/>
      <c r="B93" s="180"/>
      <c r="C93" s="180" t="s">
        <v>367</v>
      </c>
      <c r="D93" s="181" t="s">
        <v>295</v>
      </c>
      <c r="E93" s="182"/>
      <c r="F93" s="182" t="s">
        <v>311</v>
      </c>
      <c r="G93" s="116" t="e">
        <f>#REF!+30</f>
        <v>#REF!</v>
      </c>
      <c r="H93" s="116" t="e">
        <f t="shared" si="27"/>
        <v>#REF!</v>
      </c>
      <c r="I93" s="116"/>
      <c r="J93" s="183">
        <v>15</v>
      </c>
      <c r="K93" s="184" t="e">
        <f t="shared" si="24"/>
        <v>#REF!</v>
      </c>
      <c r="L93" s="184" t="e">
        <f t="shared" si="25"/>
        <v>#REF!</v>
      </c>
      <c r="M93" s="184" t="e">
        <f t="shared" si="26"/>
        <v>#REF!</v>
      </c>
      <c r="N93" s="185"/>
      <c r="O93" s="186"/>
      <c r="Q93" s="147"/>
      <c r="R93" s="186"/>
      <c r="S93" s="147"/>
      <c r="T93" s="185"/>
    </row>
    <row r="94" spans="1:20" s="103" customFormat="1" ht="15.75" x14ac:dyDescent="0.2">
      <c r="A94" s="180"/>
      <c r="B94" s="180"/>
      <c r="C94" s="180" t="s">
        <v>367</v>
      </c>
      <c r="D94" s="181" t="s">
        <v>297</v>
      </c>
      <c r="E94" s="182"/>
      <c r="F94" s="182" t="s">
        <v>120</v>
      </c>
      <c r="G94" s="116" t="e">
        <f>#REF!</f>
        <v>#REF!</v>
      </c>
      <c r="H94" s="116" t="e">
        <f t="shared" si="27"/>
        <v>#REF!</v>
      </c>
      <c r="I94" s="116"/>
      <c r="J94" s="183">
        <v>10</v>
      </c>
      <c r="K94" s="184" t="e">
        <f t="shared" si="24"/>
        <v>#REF!</v>
      </c>
      <c r="L94" s="184" t="e">
        <f t="shared" si="25"/>
        <v>#REF!</v>
      </c>
      <c r="M94" s="184" t="e">
        <f t="shared" si="26"/>
        <v>#REF!</v>
      </c>
      <c r="N94" s="185"/>
      <c r="O94" s="186"/>
      <c r="Q94" s="147"/>
      <c r="R94" s="186"/>
      <c r="S94" s="147"/>
      <c r="T94" s="185"/>
    </row>
    <row r="95" spans="1:20" s="103" customFormat="1" ht="30" x14ac:dyDescent="0.2">
      <c r="A95" s="180"/>
      <c r="B95" s="180"/>
      <c r="C95" s="180" t="s">
        <v>367</v>
      </c>
      <c r="D95" s="181" t="s">
        <v>299</v>
      </c>
      <c r="E95" s="182"/>
      <c r="F95" s="182" t="s">
        <v>313</v>
      </c>
      <c r="G95" s="116" t="e">
        <f>#REF!+60</f>
        <v>#REF!</v>
      </c>
      <c r="H95" s="116" t="e">
        <f t="shared" si="27"/>
        <v>#REF!</v>
      </c>
      <c r="I95" s="116"/>
      <c r="J95" s="183">
        <v>30</v>
      </c>
      <c r="K95" s="184" t="e">
        <f t="shared" si="24"/>
        <v>#REF!</v>
      </c>
      <c r="L95" s="184" t="e">
        <f t="shared" si="25"/>
        <v>#REF!</v>
      </c>
      <c r="M95" s="184" t="e">
        <f t="shared" si="26"/>
        <v>#REF!</v>
      </c>
      <c r="N95" s="185"/>
      <c r="O95" s="186"/>
      <c r="Q95" s="147"/>
      <c r="R95" s="186"/>
      <c r="S95" s="147"/>
      <c r="T95" s="185"/>
    </row>
    <row r="96" spans="1:20" s="103" customFormat="1" ht="30" x14ac:dyDescent="0.2">
      <c r="A96" s="180"/>
      <c r="B96" s="180"/>
      <c r="C96" s="180" t="s">
        <v>367</v>
      </c>
      <c r="D96" s="181" t="s">
        <v>300</v>
      </c>
      <c r="E96" s="182"/>
      <c r="F96" s="182" t="s">
        <v>311</v>
      </c>
      <c r="G96" s="116" t="e">
        <f>#REF!+30</f>
        <v>#REF!</v>
      </c>
      <c r="H96" s="116" t="e">
        <f t="shared" si="27"/>
        <v>#REF!</v>
      </c>
      <c r="I96" s="116"/>
      <c r="J96" s="183">
        <v>30</v>
      </c>
      <c r="K96" s="184" t="e">
        <f t="shared" si="24"/>
        <v>#REF!</v>
      </c>
      <c r="L96" s="184" t="e">
        <f t="shared" si="25"/>
        <v>#REF!</v>
      </c>
      <c r="M96" s="184" t="e">
        <f t="shared" si="26"/>
        <v>#REF!</v>
      </c>
      <c r="N96" s="185"/>
      <c r="O96" s="186"/>
      <c r="Q96" s="147"/>
      <c r="R96" s="186"/>
      <c r="S96" s="147"/>
      <c r="T96" s="185"/>
    </row>
    <row r="97" spans="1:20" s="103" customFormat="1" ht="15.75" x14ac:dyDescent="0.2">
      <c r="A97" s="180"/>
      <c r="B97" s="180"/>
      <c r="C97" s="180" t="s">
        <v>367</v>
      </c>
      <c r="D97" s="181" t="s">
        <v>291</v>
      </c>
      <c r="E97" s="182"/>
      <c r="F97" s="182" t="s">
        <v>313</v>
      </c>
      <c r="G97" s="116" t="e">
        <f>#REF!+60</f>
        <v>#REF!</v>
      </c>
      <c r="H97" s="116" t="e">
        <f t="shared" si="27"/>
        <v>#REF!</v>
      </c>
      <c r="I97" s="116"/>
      <c r="J97" s="183">
        <v>5</v>
      </c>
      <c r="K97" s="184" t="e">
        <f t="shared" si="24"/>
        <v>#REF!</v>
      </c>
      <c r="L97" s="184" t="e">
        <f t="shared" si="25"/>
        <v>#REF!</v>
      </c>
      <c r="M97" s="184" t="e">
        <f t="shared" si="26"/>
        <v>#REF!</v>
      </c>
      <c r="N97" s="185"/>
      <c r="O97" s="186"/>
      <c r="Q97" s="147"/>
      <c r="R97" s="186"/>
      <c r="S97" s="147"/>
      <c r="T97" s="185"/>
    </row>
    <row r="98" spans="1:20" s="19" customFormat="1" ht="15.75" x14ac:dyDescent="0.2">
      <c r="A98" s="141"/>
      <c r="B98" s="142"/>
      <c r="C98" s="148" t="s">
        <v>367</v>
      </c>
      <c r="D98" s="143" t="s">
        <v>376</v>
      </c>
      <c r="E98" s="144"/>
      <c r="F98" s="144" t="s">
        <v>369</v>
      </c>
      <c r="G98" s="96"/>
      <c r="H98" s="96"/>
      <c r="I98" s="96"/>
      <c r="J98" s="145"/>
      <c r="K98" s="146"/>
      <c r="L98" s="146"/>
      <c r="M98" s="146"/>
      <c r="N98" s="144"/>
      <c r="O98" s="101"/>
      <c r="P98" s="147"/>
      <c r="Q98" s="101"/>
      <c r="R98" s="101"/>
      <c r="S98" s="102"/>
      <c r="T98" s="144"/>
    </row>
    <row r="99" spans="1:20" s="19" customFormat="1" ht="15.75" x14ac:dyDescent="0.2">
      <c r="A99" s="113"/>
      <c r="B99" s="21"/>
      <c r="C99" s="150" t="s">
        <v>367</v>
      </c>
      <c r="D99" s="92" t="s">
        <v>378</v>
      </c>
      <c r="E99" s="23"/>
      <c r="F99" s="23" t="s">
        <v>369</v>
      </c>
      <c r="G99" s="31"/>
      <c r="H99" s="116"/>
      <c r="I99" s="24"/>
      <c r="J99" s="118"/>
      <c r="K99" s="117"/>
      <c r="L99" s="117"/>
      <c r="M99" s="117"/>
      <c r="N99" s="25"/>
      <c r="O99" s="26"/>
      <c r="P99" s="18"/>
      <c r="Q99" s="27"/>
      <c r="R99" s="22"/>
      <c r="S99" s="28"/>
      <c r="T99" s="25"/>
    </row>
    <row r="100" spans="1:20" s="19" customFormat="1" ht="15.75" x14ac:dyDescent="0.2">
      <c r="A100" s="113"/>
      <c r="B100" s="21"/>
      <c r="C100" s="150" t="s">
        <v>367</v>
      </c>
      <c r="D100" s="92" t="s">
        <v>402</v>
      </c>
      <c r="E100" s="23"/>
      <c r="F100" s="23" t="s">
        <v>369</v>
      </c>
      <c r="G100" s="31"/>
      <c r="H100" s="116"/>
      <c r="I100" s="24"/>
      <c r="J100" s="118"/>
      <c r="K100" s="117"/>
      <c r="L100" s="117"/>
      <c r="M100" s="117"/>
      <c r="N100" s="25"/>
      <c r="O100" s="26"/>
      <c r="P100" s="18"/>
      <c r="Q100" s="27"/>
      <c r="R100" s="22"/>
      <c r="S100" s="28"/>
      <c r="T100" s="25"/>
    </row>
    <row r="101" spans="1:20" s="19" customFormat="1" ht="15.75" x14ac:dyDescent="0.2">
      <c r="A101" s="113"/>
      <c r="B101" s="21"/>
      <c r="C101" s="150" t="s">
        <v>367</v>
      </c>
      <c r="D101" s="92" t="s">
        <v>403</v>
      </c>
      <c r="E101" s="23"/>
      <c r="F101" s="23" t="s">
        <v>369</v>
      </c>
      <c r="G101" s="31"/>
      <c r="H101" s="116"/>
      <c r="I101" s="24"/>
      <c r="J101" s="118"/>
      <c r="K101" s="117"/>
      <c r="L101" s="117"/>
      <c r="M101" s="117"/>
      <c r="N101" s="25"/>
      <c r="O101" s="26"/>
      <c r="P101" s="18"/>
      <c r="Q101" s="27"/>
      <c r="R101" s="22"/>
      <c r="S101" s="28"/>
      <c r="T101" s="25"/>
    </row>
    <row r="102" spans="1:20" s="19" customFormat="1" ht="15.75" x14ac:dyDescent="0.2">
      <c r="A102" s="113"/>
      <c r="B102" s="21"/>
      <c r="C102" s="150" t="s">
        <v>367</v>
      </c>
      <c r="D102" s="92" t="s">
        <v>404</v>
      </c>
      <c r="E102" s="23"/>
      <c r="F102" s="23" t="s">
        <v>369</v>
      </c>
      <c r="G102" s="31"/>
      <c r="H102" s="116"/>
      <c r="I102" s="24"/>
      <c r="J102" s="118"/>
      <c r="K102" s="117"/>
      <c r="L102" s="117"/>
      <c r="M102" s="117"/>
      <c r="N102" s="25"/>
      <c r="O102" s="26"/>
      <c r="P102" s="18"/>
      <c r="Q102" s="27"/>
      <c r="R102" s="22"/>
      <c r="S102" s="28"/>
      <c r="T102" s="25"/>
    </row>
    <row r="103" spans="1:20" s="19" customFormat="1" ht="15.75" x14ac:dyDescent="0.2">
      <c r="A103" s="113"/>
      <c r="B103" s="21"/>
      <c r="C103" s="150" t="s">
        <v>367</v>
      </c>
      <c r="D103" s="92" t="s">
        <v>405</v>
      </c>
      <c r="E103" s="23"/>
      <c r="F103" s="23" t="s">
        <v>369</v>
      </c>
      <c r="G103" s="31"/>
      <c r="H103" s="116"/>
      <c r="I103" s="24"/>
      <c r="J103" s="118"/>
      <c r="K103" s="117"/>
      <c r="L103" s="117"/>
      <c r="M103" s="117"/>
      <c r="N103" s="25"/>
      <c r="O103" s="26"/>
      <c r="P103" s="18"/>
      <c r="Q103" s="27"/>
      <c r="R103" s="22"/>
      <c r="S103" s="28"/>
      <c r="T103" s="25"/>
    </row>
    <row r="104" spans="1:20" s="19" customFormat="1" ht="15.75" x14ac:dyDescent="0.2">
      <c r="A104" s="113"/>
      <c r="B104" s="21"/>
      <c r="C104" s="150" t="s">
        <v>367</v>
      </c>
      <c r="D104" s="92" t="s">
        <v>379</v>
      </c>
      <c r="E104" s="23"/>
      <c r="F104" s="23" t="s">
        <v>369</v>
      </c>
      <c r="G104" s="31"/>
      <c r="H104" s="116"/>
      <c r="I104" s="24"/>
      <c r="J104" s="118"/>
      <c r="K104" s="117"/>
      <c r="L104" s="117"/>
      <c r="M104" s="117"/>
      <c r="N104" s="25"/>
      <c r="O104" s="26"/>
      <c r="P104" s="18"/>
      <c r="Q104" s="27"/>
      <c r="R104" s="22"/>
      <c r="S104" s="28"/>
      <c r="T104" s="25"/>
    </row>
    <row r="105" spans="1:20" s="19" customFormat="1" ht="15.75" x14ac:dyDescent="0.2">
      <c r="A105" s="113"/>
      <c r="B105" s="21"/>
      <c r="C105" s="150" t="s">
        <v>367</v>
      </c>
      <c r="D105" s="92" t="s">
        <v>380</v>
      </c>
      <c r="E105" s="23"/>
      <c r="F105" s="23" t="s">
        <v>369</v>
      </c>
      <c r="G105" s="31"/>
      <c r="H105" s="116"/>
      <c r="I105" s="24"/>
      <c r="J105" s="118"/>
      <c r="K105" s="117"/>
      <c r="L105" s="117"/>
      <c r="M105" s="117"/>
      <c r="N105" s="25"/>
      <c r="O105" s="26"/>
      <c r="P105" s="18"/>
      <c r="Q105" s="27"/>
      <c r="R105" s="22"/>
      <c r="S105" s="28"/>
      <c r="T105" s="25"/>
    </row>
    <row r="106" spans="1:20" s="19" customFormat="1" ht="15.75" x14ac:dyDescent="0.2">
      <c r="A106" s="113"/>
      <c r="B106" s="21"/>
      <c r="C106" s="150" t="s">
        <v>367</v>
      </c>
      <c r="D106" s="92" t="s">
        <v>381</v>
      </c>
      <c r="E106" s="23"/>
      <c r="F106" s="23" t="s">
        <v>369</v>
      </c>
      <c r="G106" s="31"/>
      <c r="H106" s="116"/>
      <c r="I106" s="24"/>
      <c r="J106" s="118"/>
      <c r="K106" s="117"/>
      <c r="L106" s="117"/>
      <c r="M106" s="117"/>
      <c r="N106" s="25"/>
      <c r="O106" s="26"/>
      <c r="P106" s="18"/>
      <c r="Q106" s="27"/>
      <c r="R106" s="22"/>
      <c r="S106" s="28"/>
      <c r="T106" s="25"/>
    </row>
    <row r="107" spans="1:20" s="19" customFormat="1" ht="15.75" x14ac:dyDescent="0.2">
      <c r="A107" s="113"/>
      <c r="B107" s="21"/>
      <c r="C107" s="150" t="s">
        <v>367</v>
      </c>
      <c r="D107" s="92" t="s">
        <v>382</v>
      </c>
      <c r="E107" s="23"/>
      <c r="F107" s="23" t="s">
        <v>369</v>
      </c>
      <c r="G107" s="31"/>
      <c r="H107" s="116"/>
      <c r="I107" s="24"/>
      <c r="J107" s="118"/>
      <c r="K107" s="117"/>
      <c r="L107" s="117"/>
      <c r="M107" s="117"/>
      <c r="N107" s="25"/>
      <c r="O107" s="26"/>
      <c r="P107" s="18"/>
      <c r="Q107" s="27"/>
      <c r="R107" s="22"/>
      <c r="S107" s="28"/>
      <c r="T107" s="25"/>
    </row>
    <row r="108" spans="1:20" s="19" customFormat="1" ht="15.75" x14ac:dyDescent="0.2">
      <c r="A108" s="113"/>
      <c r="B108" s="21"/>
      <c r="C108" s="150" t="s">
        <v>367</v>
      </c>
      <c r="D108" s="92" t="s">
        <v>377</v>
      </c>
      <c r="E108" s="23"/>
      <c r="F108" s="23" t="s">
        <v>369</v>
      </c>
      <c r="G108" s="31"/>
      <c r="H108" s="116"/>
      <c r="I108" s="24"/>
      <c r="J108" s="118"/>
      <c r="K108" s="117"/>
      <c r="L108" s="117"/>
      <c r="M108" s="117"/>
      <c r="N108" s="25"/>
      <c r="O108" s="26"/>
      <c r="P108" s="18"/>
      <c r="Q108" s="27"/>
      <c r="R108" s="22"/>
      <c r="S108" s="28"/>
      <c r="T108" s="25"/>
    </row>
    <row r="109" spans="1:20" s="19" customFormat="1" ht="15.75" x14ac:dyDescent="0.2">
      <c r="A109" s="141"/>
      <c r="B109" s="142"/>
      <c r="C109" s="148" t="s">
        <v>367</v>
      </c>
      <c r="D109" s="143" t="s">
        <v>391</v>
      </c>
      <c r="E109" s="144"/>
      <c r="F109" s="144" t="s">
        <v>369</v>
      </c>
      <c r="G109" s="96"/>
      <c r="H109" s="96"/>
      <c r="I109" s="96"/>
      <c r="J109" s="145"/>
      <c r="K109" s="146"/>
      <c r="L109" s="146"/>
      <c r="M109" s="146"/>
      <c r="N109" s="144"/>
      <c r="O109" s="101"/>
      <c r="P109" s="147"/>
      <c r="Q109" s="101"/>
      <c r="R109" s="101"/>
      <c r="S109" s="102"/>
      <c r="T109" s="144"/>
    </row>
    <row r="110" spans="1:20" s="19" customFormat="1" ht="30" x14ac:dyDescent="0.2">
      <c r="A110" s="113"/>
      <c r="B110" s="21"/>
      <c r="C110" s="150" t="s">
        <v>367</v>
      </c>
      <c r="D110" s="92" t="s">
        <v>383</v>
      </c>
      <c r="E110" s="23"/>
      <c r="F110" s="23" t="s">
        <v>369</v>
      </c>
      <c r="G110" s="31"/>
      <c r="H110" s="116"/>
      <c r="I110" s="24"/>
      <c r="J110" s="118"/>
      <c r="K110" s="117"/>
      <c r="L110" s="117"/>
      <c r="M110" s="117"/>
      <c r="N110" s="25"/>
      <c r="O110" s="26"/>
      <c r="P110" s="18"/>
      <c r="Q110" s="27"/>
      <c r="R110" s="22"/>
      <c r="S110" s="28"/>
      <c r="T110" s="25"/>
    </row>
    <row r="111" spans="1:20" s="19" customFormat="1" ht="15.75" x14ac:dyDescent="0.2">
      <c r="A111" s="113"/>
      <c r="B111" s="21"/>
      <c r="C111" s="150" t="s">
        <v>367</v>
      </c>
      <c r="D111" s="92" t="s">
        <v>384</v>
      </c>
      <c r="E111" s="23"/>
      <c r="F111" s="23" t="s">
        <v>369</v>
      </c>
      <c r="G111" s="31"/>
      <c r="H111" s="116"/>
      <c r="I111" s="24"/>
      <c r="J111" s="118"/>
      <c r="K111" s="117"/>
      <c r="L111" s="117"/>
      <c r="M111" s="117"/>
      <c r="N111" s="25"/>
      <c r="O111" s="26"/>
      <c r="P111" s="18"/>
      <c r="Q111" s="27"/>
      <c r="R111" s="22"/>
      <c r="S111" s="28"/>
      <c r="T111" s="25"/>
    </row>
    <row r="112" spans="1:20" s="19" customFormat="1" ht="15.75" x14ac:dyDescent="0.2">
      <c r="A112" s="113"/>
      <c r="B112" s="21"/>
      <c r="C112" s="150" t="s">
        <v>367</v>
      </c>
      <c r="D112" s="92" t="s">
        <v>385</v>
      </c>
      <c r="E112" s="23"/>
      <c r="F112" s="23" t="s">
        <v>369</v>
      </c>
      <c r="G112" s="31"/>
      <c r="H112" s="116"/>
      <c r="I112" s="24"/>
      <c r="J112" s="118"/>
      <c r="K112" s="117"/>
      <c r="L112" s="117"/>
      <c r="M112" s="117"/>
      <c r="N112" s="25"/>
      <c r="O112" s="26"/>
      <c r="P112" s="18"/>
      <c r="Q112" s="27"/>
      <c r="R112" s="22"/>
      <c r="S112" s="28"/>
      <c r="T112" s="25"/>
    </row>
    <row r="113" spans="1:20" s="19" customFormat="1" ht="15.75" x14ac:dyDescent="0.2">
      <c r="A113" s="113"/>
      <c r="B113" s="21"/>
      <c r="C113" s="150" t="s">
        <v>367</v>
      </c>
      <c r="D113" s="92" t="s">
        <v>386</v>
      </c>
      <c r="E113" s="23"/>
      <c r="F113" s="23" t="s">
        <v>369</v>
      </c>
      <c r="G113" s="31"/>
      <c r="H113" s="116"/>
      <c r="I113" s="24"/>
      <c r="J113" s="118"/>
      <c r="K113" s="117"/>
      <c r="L113" s="117"/>
      <c r="M113" s="117"/>
      <c r="N113" s="25"/>
      <c r="O113" s="26"/>
      <c r="P113" s="18"/>
      <c r="Q113" s="27"/>
      <c r="R113" s="22"/>
      <c r="S113" s="28"/>
      <c r="T113" s="25"/>
    </row>
    <row r="114" spans="1:20" s="19" customFormat="1" ht="15.75" x14ac:dyDescent="0.2">
      <c r="A114" s="113"/>
      <c r="B114" s="21"/>
      <c r="C114" s="150" t="s">
        <v>367</v>
      </c>
      <c r="D114" s="92" t="s">
        <v>387</v>
      </c>
      <c r="E114" s="23"/>
      <c r="F114" s="23" t="s">
        <v>369</v>
      </c>
      <c r="G114" s="31"/>
      <c r="H114" s="116"/>
      <c r="I114" s="24"/>
      <c r="J114" s="118"/>
      <c r="K114" s="117"/>
      <c r="L114" s="117"/>
      <c r="M114" s="117"/>
      <c r="N114" s="25"/>
      <c r="O114" s="26"/>
      <c r="P114" s="18"/>
      <c r="Q114" s="27"/>
      <c r="R114" s="22"/>
      <c r="S114" s="28"/>
      <c r="T114" s="25"/>
    </row>
    <row r="115" spans="1:20" s="19" customFormat="1" ht="15.75" x14ac:dyDescent="0.2">
      <c r="A115" s="113"/>
      <c r="B115" s="21"/>
      <c r="C115" s="150" t="s">
        <v>367</v>
      </c>
      <c r="D115" s="152" t="s">
        <v>388</v>
      </c>
      <c r="E115" s="23"/>
      <c r="F115" s="23" t="s">
        <v>369</v>
      </c>
      <c r="G115" s="31"/>
      <c r="H115" s="116"/>
      <c r="I115" s="24"/>
      <c r="J115" s="118"/>
      <c r="K115" s="117"/>
      <c r="L115" s="117"/>
      <c r="M115" s="117"/>
      <c r="N115" s="25"/>
      <c r="O115" s="26"/>
      <c r="P115" s="18"/>
      <c r="Q115" s="27"/>
      <c r="R115" s="22"/>
      <c r="S115" s="28"/>
      <c r="T115" s="25"/>
    </row>
    <row r="116" spans="1:20" s="19" customFormat="1" ht="15.75" x14ac:dyDescent="0.2">
      <c r="A116" s="113"/>
      <c r="B116" s="21"/>
      <c r="C116" s="150" t="s">
        <v>367</v>
      </c>
      <c r="D116" s="152" t="s">
        <v>389</v>
      </c>
      <c r="E116" s="23"/>
      <c r="F116" s="23" t="s">
        <v>369</v>
      </c>
      <c r="G116" s="31"/>
      <c r="H116" s="116"/>
      <c r="I116" s="24"/>
      <c r="J116" s="118"/>
      <c r="K116" s="117"/>
      <c r="L116" s="117"/>
      <c r="M116" s="117"/>
      <c r="N116" s="25"/>
      <c r="O116" s="26"/>
      <c r="P116" s="18"/>
      <c r="Q116" s="27"/>
      <c r="R116" s="22"/>
      <c r="S116" s="28"/>
      <c r="T116" s="25"/>
    </row>
    <row r="117" spans="1:20" s="103" customFormat="1" ht="15.75" x14ac:dyDescent="0.2">
      <c r="A117" s="180"/>
      <c r="B117" s="180"/>
      <c r="C117" s="180" t="s">
        <v>367</v>
      </c>
      <c r="D117" s="181" t="s">
        <v>304</v>
      </c>
      <c r="E117" s="182"/>
      <c r="F117" s="182" t="s">
        <v>311</v>
      </c>
      <c r="G117" s="116" t="e">
        <f>#REF!+30</f>
        <v>#REF!</v>
      </c>
      <c r="H117" s="116" t="e">
        <f t="shared" ref="H117" si="28">G117+J117</f>
        <v>#REF!</v>
      </c>
      <c r="I117" s="116"/>
      <c r="J117" s="183">
        <v>30</v>
      </c>
      <c r="K117" s="184" t="e">
        <f t="shared" ref="K117" si="29">IF(H117=0,"",IF(H117&lt;=$K$7, "X", ""))</f>
        <v>#REF!</v>
      </c>
      <c r="L117" s="184" t="e">
        <f t="shared" ref="L117" si="30">IF(H117&lt;$K$7, "",IF(H117&lt;=$L$7,"X", ""))</f>
        <v>#REF!</v>
      </c>
      <c r="M117" s="184" t="e">
        <f t="shared" ref="M117" si="31">IF(H117&lt;$L$7, "",IF(H117&gt;$L$7,"X", ""))</f>
        <v>#REF!</v>
      </c>
      <c r="N117" s="185"/>
      <c r="O117" s="186"/>
      <c r="Q117" s="147"/>
      <c r="R117" s="186"/>
      <c r="S117" s="147"/>
      <c r="T117" s="185"/>
    </row>
    <row r="118" spans="1:20" s="19" customFormat="1" ht="15.75" x14ac:dyDescent="0.2">
      <c r="A118" s="113"/>
      <c r="B118" s="21"/>
      <c r="C118" s="150" t="s">
        <v>367</v>
      </c>
      <c r="D118" s="92" t="s">
        <v>390</v>
      </c>
      <c r="E118" s="23"/>
      <c r="F118" s="23" t="s">
        <v>369</v>
      </c>
      <c r="G118" s="31"/>
      <c r="H118" s="116"/>
      <c r="I118" s="24"/>
      <c r="J118" s="118"/>
      <c r="K118" s="117"/>
      <c r="L118" s="117"/>
      <c r="M118" s="117"/>
      <c r="N118" s="25"/>
      <c r="O118" s="26"/>
      <c r="P118" s="18"/>
      <c r="Q118" s="27"/>
      <c r="R118" s="22"/>
      <c r="S118" s="28"/>
      <c r="T118" s="25"/>
    </row>
    <row r="119" spans="1:20" s="19" customFormat="1" ht="15.75" x14ac:dyDescent="0.2">
      <c r="A119" s="112" t="s">
        <v>111</v>
      </c>
      <c r="B119" s="93"/>
      <c r="C119" s="93" t="s">
        <v>87</v>
      </c>
      <c r="D119" s="94" t="s">
        <v>63</v>
      </c>
      <c r="E119" s="95"/>
      <c r="F119" s="95" t="s">
        <v>121</v>
      </c>
      <c r="G119" s="96">
        <f>K7+91</f>
        <v>41244</v>
      </c>
      <c r="H119" s="96">
        <f>G119+J119</f>
        <v>41304</v>
      </c>
      <c r="I119" s="97"/>
      <c r="J119" s="98">
        <v>60</v>
      </c>
      <c r="K119" s="99" t="str">
        <f t="shared" si="4"/>
        <v/>
      </c>
      <c r="L119" s="99" t="str">
        <f t="shared" si="5"/>
        <v/>
      </c>
      <c r="M119" s="99" t="str">
        <f t="shared" si="6"/>
        <v>X</v>
      </c>
      <c r="N119" s="95"/>
      <c r="O119" s="100"/>
      <c r="P119" s="103"/>
      <c r="Q119" s="101"/>
      <c r="R119" s="101"/>
      <c r="S119" s="102"/>
      <c r="T119" s="95"/>
    </row>
    <row r="120" spans="1:20" s="19" customFormat="1" ht="15.75" x14ac:dyDescent="0.2">
      <c r="A120" s="113" t="s">
        <v>112</v>
      </c>
      <c r="B120" s="21"/>
      <c r="C120" s="21" t="s">
        <v>87</v>
      </c>
      <c r="D120" s="92" t="s">
        <v>122</v>
      </c>
      <c r="E120" s="23"/>
      <c r="F120" s="23" t="s">
        <v>120</v>
      </c>
      <c r="G120" s="31">
        <f>K7</f>
        <v>41153</v>
      </c>
      <c r="H120" s="116">
        <f t="shared" si="3"/>
        <v>41158</v>
      </c>
      <c r="I120" s="24"/>
      <c r="J120" s="118">
        <v>5</v>
      </c>
      <c r="K120" s="117" t="str">
        <f t="shared" si="4"/>
        <v/>
      </c>
      <c r="L120" s="117" t="str">
        <f t="shared" si="5"/>
        <v>X</v>
      </c>
      <c r="M120" s="117" t="str">
        <f t="shared" si="6"/>
        <v/>
      </c>
      <c r="N120" s="25"/>
      <c r="O120" s="26"/>
      <c r="P120" s="18"/>
      <c r="Q120" s="27"/>
      <c r="R120" s="22"/>
      <c r="S120" s="28"/>
      <c r="T120" s="25"/>
    </row>
    <row r="121" spans="1:20" s="19" customFormat="1" ht="15.75" x14ac:dyDescent="0.2">
      <c r="A121" s="113" t="s">
        <v>113</v>
      </c>
      <c r="B121" s="21"/>
      <c r="C121" s="21" t="s">
        <v>87</v>
      </c>
      <c r="D121" s="92" t="s">
        <v>123</v>
      </c>
      <c r="E121" s="23"/>
      <c r="F121" s="23" t="s">
        <v>120</v>
      </c>
      <c r="G121" s="31">
        <f>K7</f>
        <v>41153</v>
      </c>
      <c r="H121" s="116">
        <f t="shared" si="3"/>
        <v>41158</v>
      </c>
      <c r="I121" s="24"/>
      <c r="J121" s="118">
        <v>5</v>
      </c>
      <c r="K121" s="117" t="str">
        <f t="shared" si="4"/>
        <v/>
      </c>
      <c r="L121" s="117" t="str">
        <f t="shared" si="5"/>
        <v>X</v>
      </c>
      <c r="M121" s="117" t="str">
        <f t="shared" si="6"/>
        <v/>
      </c>
      <c r="N121" s="25"/>
      <c r="O121" s="26"/>
      <c r="P121" s="18"/>
      <c r="Q121" s="27"/>
      <c r="R121" s="22"/>
      <c r="S121" s="28"/>
      <c r="T121" s="25"/>
    </row>
    <row r="122" spans="1:20" s="19" customFormat="1" ht="30" x14ac:dyDescent="0.2">
      <c r="A122" s="114" t="s">
        <v>114</v>
      </c>
      <c r="B122" s="21"/>
      <c r="C122" s="29" t="s">
        <v>87</v>
      </c>
      <c r="D122" s="32" t="s">
        <v>124</v>
      </c>
      <c r="E122" s="30"/>
      <c r="F122" s="30" t="s">
        <v>120</v>
      </c>
      <c r="G122" s="31">
        <f>K7</f>
        <v>41153</v>
      </c>
      <c r="H122" s="116">
        <f t="shared" si="3"/>
        <v>41158</v>
      </c>
      <c r="I122" s="31"/>
      <c r="J122" s="118">
        <v>5</v>
      </c>
      <c r="K122" s="117" t="str">
        <f t="shared" si="4"/>
        <v/>
      </c>
      <c r="L122" s="117" t="str">
        <f t="shared" si="5"/>
        <v>X</v>
      </c>
      <c r="M122" s="117" t="str">
        <f t="shared" si="6"/>
        <v/>
      </c>
      <c r="N122" s="47"/>
      <c r="O122" s="22"/>
      <c r="P122" s="18"/>
      <c r="Q122" s="27"/>
      <c r="R122" s="22"/>
      <c r="S122" s="27"/>
      <c r="T122" s="47"/>
    </row>
    <row r="123" spans="1:20" s="19" customFormat="1" ht="15.75" x14ac:dyDescent="0.2">
      <c r="A123" s="113" t="s">
        <v>115</v>
      </c>
      <c r="B123" s="21"/>
      <c r="C123" s="21" t="s">
        <v>87</v>
      </c>
      <c r="D123" s="92" t="s">
        <v>125</v>
      </c>
      <c r="E123" s="23"/>
      <c r="F123" s="23" t="s">
        <v>120</v>
      </c>
      <c r="G123" s="31">
        <f>K7</f>
        <v>41153</v>
      </c>
      <c r="H123" s="116">
        <f t="shared" si="3"/>
        <v>41154</v>
      </c>
      <c r="I123" s="24"/>
      <c r="J123" s="118">
        <v>1</v>
      </c>
      <c r="K123" s="117" t="str">
        <f t="shared" si="4"/>
        <v/>
      </c>
      <c r="L123" s="117" t="str">
        <f t="shared" si="5"/>
        <v>X</v>
      </c>
      <c r="M123" s="117" t="str">
        <f t="shared" si="6"/>
        <v/>
      </c>
      <c r="N123" s="25"/>
      <c r="O123" s="26"/>
      <c r="P123" s="18"/>
      <c r="Q123" s="27"/>
      <c r="R123" s="22"/>
      <c r="S123" s="28"/>
      <c r="T123" s="25"/>
    </row>
    <row r="124" spans="1:20" s="19" customFormat="1" ht="15.75" x14ac:dyDescent="0.2">
      <c r="A124" s="113" t="s">
        <v>116</v>
      </c>
      <c r="B124" s="21"/>
      <c r="C124" s="21" t="s">
        <v>87</v>
      </c>
      <c r="D124" s="92" t="s">
        <v>126</v>
      </c>
      <c r="E124" s="23"/>
      <c r="F124" s="23" t="s">
        <v>311</v>
      </c>
      <c r="G124" s="31">
        <f>K7+30</f>
        <v>41183</v>
      </c>
      <c r="H124" s="116">
        <f t="shared" si="3"/>
        <v>41188</v>
      </c>
      <c r="I124" s="24"/>
      <c r="J124" s="118">
        <v>5</v>
      </c>
      <c r="K124" s="117" t="str">
        <f t="shared" si="4"/>
        <v/>
      </c>
      <c r="L124" s="117" t="str">
        <f t="shared" si="5"/>
        <v>X</v>
      </c>
      <c r="M124" s="117" t="str">
        <f t="shared" si="6"/>
        <v/>
      </c>
      <c r="N124" s="25"/>
      <c r="O124" s="26"/>
      <c r="P124" s="18"/>
      <c r="Q124" s="27"/>
      <c r="R124" s="22"/>
      <c r="S124" s="28"/>
      <c r="T124" s="25"/>
    </row>
    <row r="125" spans="1:20" s="19" customFormat="1" ht="15.75" x14ac:dyDescent="0.2">
      <c r="A125" s="114" t="s">
        <v>117</v>
      </c>
      <c r="B125" s="29"/>
      <c r="C125" s="29" t="s">
        <v>87</v>
      </c>
      <c r="D125" s="92" t="s">
        <v>127</v>
      </c>
      <c r="E125" s="30"/>
      <c r="F125" s="30" t="s">
        <v>312</v>
      </c>
      <c r="G125" s="31">
        <f>K7</f>
        <v>41153</v>
      </c>
      <c r="H125" s="116">
        <f t="shared" si="3"/>
        <v>41163</v>
      </c>
      <c r="I125" s="31"/>
      <c r="J125" s="118">
        <v>10</v>
      </c>
      <c r="K125" s="117" t="str">
        <f t="shared" si="4"/>
        <v/>
      </c>
      <c r="L125" s="117" t="str">
        <f t="shared" si="5"/>
        <v>X</v>
      </c>
      <c r="M125" s="117" t="str">
        <f t="shared" si="6"/>
        <v/>
      </c>
      <c r="N125" s="25"/>
      <c r="O125" s="22"/>
      <c r="P125" s="18"/>
      <c r="Q125" s="27"/>
      <c r="R125" s="22"/>
      <c r="S125" s="28"/>
      <c r="T125" s="25"/>
    </row>
    <row r="126" spans="1:20" s="19" customFormat="1" ht="15.75" x14ac:dyDescent="0.2">
      <c r="A126" s="115" t="s">
        <v>118</v>
      </c>
      <c r="B126" s="27"/>
      <c r="C126" s="27" t="s">
        <v>87</v>
      </c>
      <c r="D126" s="22" t="s">
        <v>128</v>
      </c>
      <c r="E126" s="30"/>
      <c r="F126" s="30" t="s">
        <v>120</v>
      </c>
      <c r="G126" s="31">
        <f>K7</f>
        <v>41153</v>
      </c>
      <c r="H126" s="116">
        <f t="shared" si="3"/>
        <v>41163</v>
      </c>
      <c r="I126" s="31"/>
      <c r="J126" s="118">
        <v>10</v>
      </c>
      <c r="K126" s="117" t="str">
        <f t="shared" si="4"/>
        <v/>
      </c>
      <c r="L126" s="117" t="str">
        <f t="shared" si="5"/>
        <v>X</v>
      </c>
      <c r="M126" s="117" t="str">
        <f t="shared" si="6"/>
        <v/>
      </c>
      <c r="N126" s="25"/>
      <c r="O126" s="22"/>
      <c r="P126" s="18"/>
      <c r="Q126" s="27"/>
      <c r="R126" s="22"/>
      <c r="S126" s="28"/>
      <c r="T126" s="25"/>
    </row>
    <row r="127" spans="1:20" s="19" customFormat="1" ht="15.75" x14ac:dyDescent="0.2">
      <c r="A127" s="27"/>
      <c r="B127" s="27"/>
      <c r="C127" s="27" t="s">
        <v>87</v>
      </c>
      <c r="D127" s="22" t="s">
        <v>129</v>
      </c>
      <c r="E127" s="30"/>
      <c r="F127" s="30" t="s">
        <v>311</v>
      </c>
      <c r="G127" s="31">
        <f>K7+30</f>
        <v>41183</v>
      </c>
      <c r="H127" s="116">
        <f t="shared" si="3"/>
        <v>41193</v>
      </c>
      <c r="I127" s="31"/>
      <c r="J127" s="118">
        <v>10</v>
      </c>
      <c r="K127" s="117" t="str">
        <f t="shared" si="4"/>
        <v/>
      </c>
      <c r="L127" s="117" t="str">
        <f t="shared" si="5"/>
        <v>X</v>
      </c>
      <c r="M127" s="117" t="str">
        <f t="shared" si="6"/>
        <v/>
      </c>
      <c r="N127" s="45"/>
      <c r="O127" s="22"/>
      <c r="P127" s="18"/>
      <c r="Q127" s="27"/>
      <c r="R127" s="22"/>
      <c r="S127" s="28"/>
      <c r="T127" s="45"/>
    </row>
    <row r="128" spans="1:20" s="19" customFormat="1" ht="15.75" x14ac:dyDescent="0.2">
      <c r="A128" s="29"/>
      <c r="B128" s="29"/>
      <c r="C128" s="27" t="s">
        <v>87</v>
      </c>
      <c r="D128" s="32" t="s">
        <v>130</v>
      </c>
      <c r="E128" s="30"/>
      <c r="F128" s="30" t="s">
        <v>120</v>
      </c>
      <c r="G128" s="31">
        <f>K7</f>
        <v>41153</v>
      </c>
      <c r="H128" s="116">
        <f t="shared" si="3"/>
        <v>41158</v>
      </c>
      <c r="I128" s="31"/>
      <c r="J128" s="118">
        <v>5</v>
      </c>
      <c r="K128" s="117" t="str">
        <f t="shared" si="4"/>
        <v/>
      </c>
      <c r="L128" s="117" t="str">
        <f t="shared" si="5"/>
        <v>X</v>
      </c>
      <c r="M128" s="117" t="str">
        <f t="shared" si="6"/>
        <v/>
      </c>
      <c r="N128" s="47"/>
      <c r="O128" s="22"/>
      <c r="P128" s="18"/>
      <c r="Q128" s="27"/>
      <c r="R128" s="22"/>
      <c r="S128" s="27"/>
      <c r="T128" s="47"/>
    </row>
    <row r="129" spans="1:20" s="19" customFormat="1" ht="15.75" x14ac:dyDescent="0.2">
      <c r="A129" s="29"/>
      <c r="B129" s="29"/>
      <c r="C129" s="27" t="s">
        <v>87</v>
      </c>
      <c r="D129" s="32" t="s">
        <v>131</v>
      </c>
      <c r="E129" s="30"/>
      <c r="F129" s="30" t="s">
        <v>120</v>
      </c>
      <c r="G129" s="31">
        <f>K7</f>
        <v>41153</v>
      </c>
      <c r="H129" s="116">
        <f t="shared" si="3"/>
        <v>41163</v>
      </c>
      <c r="I129" s="31"/>
      <c r="J129" s="118">
        <v>10</v>
      </c>
      <c r="K129" s="117" t="str">
        <f t="shared" si="4"/>
        <v/>
      </c>
      <c r="L129" s="117" t="str">
        <f t="shared" si="5"/>
        <v>X</v>
      </c>
      <c r="M129" s="117" t="str">
        <f t="shared" si="6"/>
        <v/>
      </c>
      <c r="N129" s="47"/>
      <c r="O129" s="22"/>
      <c r="P129" s="18"/>
      <c r="Q129" s="27"/>
      <c r="R129" s="22"/>
      <c r="S129" s="27"/>
      <c r="T129" s="47"/>
    </row>
    <row r="130" spans="1:20" s="19" customFormat="1" ht="15.75" x14ac:dyDescent="0.2">
      <c r="A130" s="29"/>
      <c r="B130" s="29"/>
      <c r="C130" s="27" t="s">
        <v>87</v>
      </c>
      <c r="D130" s="32" t="s">
        <v>132</v>
      </c>
      <c r="E130" s="30"/>
      <c r="F130" s="30" t="s">
        <v>120</v>
      </c>
      <c r="G130" s="31">
        <f>K7</f>
        <v>41153</v>
      </c>
      <c r="H130" s="116">
        <f t="shared" si="3"/>
        <v>41158</v>
      </c>
      <c r="I130" s="31"/>
      <c r="J130" s="118">
        <v>5</v>
      </c>
      <c r="K130" s="117" t="str">
        <f t="shared" si="4"/>
        <v/>
      </c>
      <c r="L130" s="117" t="str">
        <f t="shared" si="5"/>
        <v>X</v>
      </c>
      <c r="M130" s="117" t="str">
        <f t="shared" si="6"/>
        <v/>
      </c>
      <c r="N130" s="47"/>
      <c r="O130" s="22"/>
      <c r="P130" s="18"/>
      <c r="Q130" s="27"/>
      <c r="R130" s="22"/>
      <c r="S130" s="27"/>
      <c r="T130" s="47"/>
    </row>
    <row r="131" spans="1:20" s="19" customFormat="1" ht="30" x14ac:dyDescent="0.2">
      <c r="A131" s="29"/>
      <c r="B131" s="29"/>
      <c r="C131" s="27" t="s">
        <v>87</v>
      </c>
      <c r="D131" s="32" t="s">
        <v>133</v>
      </c>
      <c r="E131" s="30"/>
      <c r="F131" s="30" t="s">
        <v>311</v>
      </c>
      <c r="G131" s="31">
        <f>K7+30</f>
        <v>41183</v>
      </c>
      <c r="H131" s="116">
        <f t="shared" si="3"/>
        <v>41184</v>
      </c>
      <c r="I131" s="31"/>
      <c r="J131" s="118">
        <v>1</v>
      </c>
      <c r="K131" s="117" t="str">
        <f t="shared" si="4"/>
        <v/>
      </c>
      <c r="L131" s="117" t="str">
        <f t="shared" si="5"/>
        <v>X</v>
      </c>
      <c r="M131" s="117" t="str">
        <f t="shared" si="6"/>
        <v/>
      </c>
      <c r="N131" s="47"/>
      <c r="O131" s="22"/>
      <c r="P131" s="18"/>
      <c r="Q131" s="27"/>
      <c r="R131" s="22"/>
      <c r="S131" s="27"/>
      <c r="T131" s="47"/>
    </row>
    <row r="132" spans="1:20" s="19" customFormat="1" ht="30" x14ac:dyDescent="0.2">
      <c r="A132" s="29"/>
      <c r="B132" s="29"/>
      <c r="C132" s="27" t="s">
        <v>87</v>
      </c>
      <c r="D132" s="32" t="s">
        <v>134</v>
      </c>
      <c r="E132" s="30"/>
      <c r="F132" s="30" t="s">
        <v>313</v>
      </c>
      <c r="G132" s="31">
        <f>K7+60</f>
        <v>41213</v>
      </c>
      <c r="H132" s="116">
        <f t="shared" si="3"/>
        <v>41223</v>
      </c>
      <c r="I132" s="31"/>
      <c r="J132" s="118">
        <v>10</v>
      </c>
      <c r="K132" s="117" t="str">
        <f t="shared" si="4"/>
        <v/>
      </c>
      <c r="L132" s="117" t="str">
        <f t="shared" si="5"/>
        <v>X</v>
      </c>
      <c r="M132" s="117" t="str">
        <f t="shared" si="6"/>
        <v/>
      </c>
      <c r="N132" s="47"/>
      <c r="O132" s="22"/>
      <c r="P132" s="18"/>
      <c r="Q132" s="27"/>
      <c r="R132" s="22"/>
      <c r="S132" s="27"/>
      <c r="T132" s="47"/>
    </row>
    <row r="133" spans="1:20" s="19" customFormat="1" ht="15.75" x14ac:dyDescent="0.2">
      <c r="A133" s="29"/>
      <c r="B133" s="29"/>
      <c r="C133" s="27" t="s">
        <v>87</v>
      </c>
      <c r="D133" s="32" t="s">
        <v>135</v>
      </c>
      <c r="E133" s="30"/>
      <c r="F133" s="30" t="s">
        <v>120</v>
      </c>
      <c r="G133" s="31">
        <f>K7</f>
        <v>41153</v>
      </c>
      <c r="H133" s="116">
        <f t="shared" si="3"/>
        <v>41158</v>
      </c>
      <c r="I133" s="31"/>
      <c r="J133" s="118">
        <v>5</v>
      </c>
      <c r="K133" s="117" t="str">
        <f t="shared" si="4"/>
        <v/>
      </c>
      <c r="L133" s="117" t="str">
        <f t="shared" si="5"/>
        <v>X</v>
      </c>
      <c r="M133" s="117" t="str">
        <f t="shared" si="6"/>
        <v/>
      </c>
      <c r="N133" s="47"/>
      <c r="O133" s="22"/>
      <c r="P133" s="18"/>
      <c r="Q133" s="27"/>
      <c r="R133" s="22"/>
      <c r="S133" s="27"/>
      <c r="T133" s="47"/>
    </row>
    <row r="134" spans="1:20" s="19" customFormat="1" ht="15.75" x14ac:dyDescent="0.2">
      <c r="A134" s="29"/>
      <c r="B134" s="29"/>
      <c r="C134" s="27" t="s">
        <v>87</v>
      </c>
      <c r="D134" s="32" t="s">
        <v>136</v>
      </c>
      <c r="E134" s="30"/>
      <c r="F134" s="30" t="s">
        <v>120</v>
      </c>
      <c r="G134" s="31">
        <f>K7</f>
        <v>41153</v>
      </c>
      <c r="H134" s="116">
        <f t="shared" si="3"/>
        <v>41158</v>
      </c>
      <c r="I134" s="31"/>
      <c r="J134" s="118">
        <v>5</v>
      </c>
      <c r="K134" s="117" t="str">
        <f t="shared" si="4"/>
        <v/>
      </c>
      <c r="L134" s="117" t="str">
        <f t="shared" si="5"/>
        <v>X</v>
      </c>
      <c r="M134" s="117" t="str">
        <f t="shared" si="6"/>
        <v/>
      </c>
      <c r="N134" s="47"/>
      <c r="O134" s="22"/>
      <c r="P134" s="18"/>
      <c r="Q134" s="27"/>
      <c r="R134" s="22"/>
      <c r="S134" s="27"/>
      <c r="T134" s="47"/>
    </row>
    <row r="135" spans="1:20" s="19" customFormat="1" ht="30" x14ac:dyDescent="0.2">
      <c r="A135" s="29"/>
      <c r="B135" s="29"/>
      <c r="C135" s="27" t="s">
        <v>87</v>
      </c>
      <c r="D135" s="32" t="s">
        <v>137</v>
      </c>
      <c r="E135" s="30"/>
      <c r="F135" s="30" t="s">
        <v>311</v>
      </c>
      <c r="G135" s="31">
        <f>K7+30</f>
        <v>41183</v>
      </c>
      <c r="H135" s="116">
        <f t="shared" si="3"/>
        <v>41188</v>
      </c>
      <c r="I135" s="31"/>
      <c r="J135" s="118">
        <v>5</v>
      </c>
      <c r="K135" s="117" t="str">
        <f t="shared" si="4"/>
        <v/>
      </c>
      <c r="L135" s="117" t="str">
        <f t="shared" si="5"/>
        <v>X</v>
      </c>
      <c r="M135" s="117" t="str">
        <f t="shared" si="6"/>
        <v/>
      </c>
      <c r="N135" s="47"/>
      <c r="O135" s="22"/>
      <c r="P135" s="18"/>
      <c r="Q135" s="27"/>
      <c r="R135" s="22"/>
      <c r="S135" s="27"/>
      <c r="T135" s="47"/>
    </row>
    <row r="136" spans="1:20" s="19" customFormat="1" ht="15.75" x14ac:dyDescent="0.2">
      <c r="A136" s="29"/>
      <c r="B136" s="29"/>
      <c r="C136" s="27" t="s">
        <v>87</v>
      </c>
      <c r="D136" s="32" t="s">
        <v>138</v>
      </c>
      <c r="E136" s="30"/>
      <c r="F136" s="30" t="s">
        <v>311</v>
      </c>
      <c r="G136" s="31">
        <f>K7+30</f>
        <v>41183</v>
      </c>
      <c r="H136" s="116">
        <f t="shared" si="3"/>
        <v>41198</v>
      </c>
      <c r="I136" s="31"/>
      <c r="J136" s="118">
        <v>15</v>
      </c>
      <c r="K136" s="117" t="str">
        <f t="shared" si="4"/>
        <v/>
      </c>
      <c r="L136" s="117" t="str">
        <f t="shared" si="5"/>
        <v>X</v>
      </c>
      <c r="M136" s="117" t="str">
        <f t="shared" si="6"/>
        <v/>
      </c>
      <c r="N136" s="47"/>
      <c r="O136" s="22"/>
      <c r="P136" s="18"/>
      <c r="Q136" s="27"/>
      <c r="R136" s="22"/>
      <c r="S136" s="27"/>
      <c r="T136" s="47"/>
    </row>
    <row r="137" spans="1:20" s="19" customFormat="1" ht="15.75" x14ac:dyDescent="0.2">
      <c r="A137" s="29"/>
      <c r="B137" s="29"/>
      <c r="C137" s="27" t="s">
        <v>87</v>
      </c>
      <c r="D137" s="32" t="s">
        <v>139</v>
      </c>
      <c r="E137" s="30"/>
      <c r="F137" s="30" t="s">
        <v>311</v>
      </c>
      <c r="G137" s="31">
        <f>K7+30</f>
        <v>41183</v>
      </c>
      <c r="H137" s="116">
        <f t="shared" si="3"/>
        <v>41184</v>
      </c>
      <c r="I137" s="31"/>
      <c r="J137" s="118">
        <v>1</v>
      </c>
      <c r="K137" s="117" t="str">
        <f t="shared" si="4"/>
        <v/>
      </c>
      <c r="L137" s="117" t="str">
        <f t="shared" si="5"/>
        <v>X</v>
      </c>
      <c r="M137" s="117" t="str">
        <f t="shared" si="6"/>
        <v/>
      </c>
      <c r="N137" s="47"/>
      <c r="O137" s="22"/>
      <c r="P137" s="18"/>
      <c r="Q137" s="27"/>
      <c r="R137" s="22"/>
      <c r="S137" s="27"/>
      <c r="T137" s="47"/>
    </row>
    <row r="138" spans="1:20" s="19" customFormat="1" ht="15.75" x14ac:dyDescent="0.2">
      <c r="A138" s="29"/>
      <c r="B138" s="29"/>
      <c r="C138" s="27" t="s">
        <v>87</v>
      </c>
      <c r="D138" s="32" t="s">
        <v>140</v>
      </c>
      <c r="E138" s="30"/>
      <c r="F138" s="30" t="s">
        <v>311</v>
      </c>
      <c r="G138" s="31">
        <f>K7+30</f>
        <v>41183</v>
      </c>
      <c r="H138" s="116">
        <f t="shared" si="3"/>
        <v>41184</v>
      </c>
      <c r="I138" s="31"/>
      <c r="J138" s="118">
        <v>1</v>
      </c>
      <c r="K138" s="117" t="str">
        <f t="shared" si="4"/>
        <v/>
      </c>
      <c r="L138" s="117" t="str">
        <f t="shared" si="5"/>
        <v>X</v>
      </c>
      <c r="M138" s="117" t="str">
        <f t="shared" si="6"/>
        <v/>
      </c>
      <c r="N138" s="47"/>
      <c r="O138" s="22"/>
      <c r="P138" s="18"/>
      <c r="Q138" s="27"/>
      <c r="R138" s="22"/>
      <c r="S138" s="27"/>
      <c r="T138" s="47"/>
    </row>
    <row r="139" spans="1:20" s="19" customFormat="1" ht="15.75" x14ac:dyDescent="0.2">
      <c r="A139" s="29"/>
      <c r="B139" s="29"/>
      <c r="C139" s="27" t="s">
        <v>87</v>
      </c>
      <c r="D139" s="32" t="s">
        <v>141</v>
      </c>
      <c r="E139" s="30"/>
      <c r="F139" s="30" t="s">
        <v>311</v>
      </c>
      <c r="G139" s="31">
        <f>K7+30</f>
        <v>41183</v>
      </c>
      <c r="H139" s="116">
        <f t="shared" si="3"/>
        <v>41198</v>
      </c>
      <c r="I139" s="31"/>
      <c r="J139" s="118">
        <v>15</v>
      </c>
      <c r="K139" s="117" t="str">
        <f t="shared" si="4"/>
        <v/>
      </c>
      <c r="L139" s="117" t="str">
        <f t="shared" si="5"/>
        <v>X</v>
      </c>
      <c r="M139" s="117" t="str">
        <f t="shared" si="6"/>
        <v/>
      </c>
      <c r="N139" s="47"/>
      <c r="O139" s="22"/>
      <c r="P139" s="18"/>
      <c r="Q139" s="27"/>
      <c r="R139" s="22"/>
      <c r="S139" s="27"/>
      <c r="T139" s="47"/>
    </row>
    <row r="140" spans="1:20" s="19" customFormat="1" ht="15.75" x14ac:dyDescent="0.2">
      <c r="A140" s="29"/>
      <c r="B140" s="29"/>
      <c r="C140" s="27" t="s">
        <v>87</v>
      </c>
      <c r="D140" s="32" t="s">
        <v>142</v>
      </c>
      <c r="E140" s="30"/>
      <c r="F140" s="30" t="s">
        <v>311</v>
      </c>
      <c r="G140" s="31">
        <f>K7+30</f>
        <v>41183</v>
      </c>
      <c r="H140" s="116">
        <f t="shared" si="3"/>
        <v>41198</v>
      </c>
      <c r="I140" s="31"/>
      <c r="J140" s="118">
        <v>15</v>
      </c>
      <c r="K140" s="117" t="str">
        <f t="shared" si="4"/>
        <v/>
      </c>
      <c r="L140" s="117" t="str">
        <f t="shared" si="5"/>
        <v>X</v>
      </c>
      <c r="M140" s="117" t="str">
        <f t="shared" si="6"/>
        <v/>
      </c>
      <c r="N140" s="47"/>
      <c r="O140" s="22"/>
      <c r="P140" s="18"/>
      <c r="Q140" s="27"/>
      <c r="R140" s="22"/>
      <c r="S140" s="27"/>
      <c r="T140" s="47"/>
    </row>
    <row r="141" spans="1:20" s="19" customFormat="1" ht="15.75" x14ac:dyDescent="0.2">
      <c r="A141" s="29"/>
      <c r="B141" s="29"/>
      <c r="C141" s="27" t="s">
        <v>87</v>
      </c>
      <c r="D141" s="32" t="s">
        <v>143</v>
      </c>
      <c r="E141" s="30"/>
      <c r="F141" s="30" t="s">
        <v>311</v>
      </c>
      <c r="G141" s="31">
        <f>K7+30</f>
        <v>41183</v>
      </c>
      <c r="H141" s="116">
        <f t="shared" si="3"/>
        <v>41188</v>
      </c>
      <c r="I141" s="31"/>
      <c r="J141" s="118">
        <v>5</v>
      </c>
      <c r="K141" s="117" t="str">
        <f t="shared" si="4"/>
        <v/>
      </c>
      <c r="L141" s="117" t="str">
        <f t="shared" si="5"/>
        <v>X</v>
      </c>
      <c r="M141" s="117" t="str">
        <f t="shared" si="6"/>
        <v/>
      </c>
      <c r="N141" s="47"/>
      <c r="O141" s="22"/>
      <c r="P141" s="18"/>
      <c r="Q141" s="27"/>
      <c r="R141" s="22"/>
      <c r="S141" s="27"/>
      <c r="T141" s="47"/>
    </row>
    <row r="142" spans="1:20" s="19" customFormat="1" ht="15.75" x14ac:dyDescent="0.2">
      <c r="A142" s="29"/>
      <c r="B142" s="29"/>
      <c r="C142" s="27" t="s">
        <v>87</v>
      </c>
      <c r="D142" s="32" t="s">
        <v>144</v>
      </c>
      <c r="E142" s="30"/>
      <c r="F142" s="30" t="s">
        <v>311</v>
      </c>
      <c r="G142" s="31">
        <f>K7+30</f>
        <v>41183</v>
      </c>
      <c r="H142" s="116">
        <f t="shared" si="3"/>
        <v>41188</v>
      </c>
      <c r="I142" s="31"/>
      <c r="J142" s="118">
        <v>5</v>
      </c>
      <c r="K142" s="117" t="str">
        <f t="shared" si="4"/>
        <v/>
      </c>
      <c r="L142" s="117" t="str">
        <f t="shared" si="5"/>
        <v>X</v>
      </c>
      <c r="M142" s="117" t="str">
        <f t="shared" si="6"/>
        <v/>
      </c>
      <c r="N142" s="47"/>
      <c r="O142" s="22"/>
      <c r="P142" s="18"/>
      <c r="Q142" s="27"/>
      <c r="R142" s="22"/>
      <c r="S142" s="27"/>
      <c r="T142" s="47"/>
    </row>
    <row r="143" spans="1:20" s="19" customFormat="1" ht="15.75" x14ac:dyDescent="0.2">
      <c r="A143" s="29"/>
      <c r="B143" s="29"/>
      <c r="C143" s="27" t="s">
        <v>87</v>
      </c>
      <c r="D143" s="32" t="s">
        <v>145</v>
      </c>
      <c r="E143" s="30"/>
      <c r="F143" s="30" t="s">
        <v>311</v>
      </c>
      <c r="G143" s="31">
        <f>K7+30</f>
        <v>41183</v>
      </c>
      <c r="H143" s="116">
        <f t="shared" si="3"/>
        <v>41243</v>
      </c>
      <c r="I143" s="31"/>
      <c r="J143" s="118">
        <v>60</v>
      </c>
      <c r="K143" s="117" t="str">
        <f t="shared" si="4"/>
        <v/>
      </c>
      <c r="L143" s="117" t="str">
        <f t="shared" si="5"/>
        <v>X</v>
      </c>
      <c r="M143" s="117" t="str">
        <f t="shared" si="6"/>
        <v/>
      </c>
      <c r="N143" s="47"/>
      <c r="O143" s="22"/>
      <c r="P143" s="18"/>
      <c r="Q143" s="27"/>
      <c r="R143" s="22"/>
      <c r="S143" s="27"/>
      <c r="T143" s="47"/>
    </row>
    <row r="144" spans="1:20" s="19" customFormat="1" ht="15.75" x14ac:dyDescent="0.2">
      <c r="A144" s="29"/>
      <c r="B144" s="29"/>
      <c r="C144" s="27" t="s">
        <v>87</v>
      </c>
      <c r="D144" s="32" t="s">
        <v>146</v>
      </c>
      <c r="E144" s="30"/>
      <c r="F144" s="30" t="s">
        <v>311</v>
      </c>
      <c r="G144" s="31">
        <f>K7+30</f>
        <v>41183</v>
      </c>
      <c r="H144" s="116">
        <f t="shared" si="3"/>
        <v>41188</v>
      </c>
      <c r="I144" s="31"/>
      <c r="J144" s="118">
        <v>5</v>
      </c>
      <c r="K144" s="117" t="str">
        <f t="shared" si="4"/>
        <v/>
      </c>
      <c r="L144" s="117" t="str">
        <f t="shared" si="5"/>
        <v>X</v>
      </c>
      <c r="M144" s="117" t="str">
        <f t="shared" si="6"/>
        <v/>
      </c>
      <c r="N144" s="47"/>
      <c r="O144" s="22"/>
      <c r="P144" s="18"/>
      <c r="Q144" s="27"/>
      <c r="R144" s="22"/>
      <c r="S144" s="27"/>
      <c r="T144" s="47"/>
    </row>
    <row r="145" spans="1:20" s="19" customFormat="1" ht="15.75" x14ac:dyDescent="0.2">
      <c r="A145" s="29"/>
      <c r="B145" s="29"/>
      <c r="C145" s="27" t="s">
        <v>87</v>
      </c>
      <c r="D145" s="32" t="s">
        <v>147</v>
      </c>
      <c r="E145" s="30"/>
      <c r="F145" s="30" t="s">
        <v>313</v>
      </c>
      <c r="G145" s="31">
        <f>K7+60</f>
        <v>41213</v>
      </c>
      <c r="H145" s="116">
        <f t="shared" si="3"/>
        <v>41218</v>
      </c>
      <c r="I145" s="31"/>
      <c r="J145" s="118">
        <v>5</v>
      </c>
      <c r="K145" s="117" t="str">
        <f t="shared" si="4"/>
        <v/>
      </c>
      <c r="L145" s="117" t="str">
        <f t="shared" si="5"/>
        <v>X</v>
      </c>
      <c r="M145" s="117" t="str">
        <f t="shared" si="6"/>
        <v/>
      </c>
      <c r="N145" s="47"/>
      <c r="O145" s="22"/>
      <c r="P145" s="18"/>
      <c r="Q145" s="27"/>
      <c r="R145" s="22"/>
      <c r="S145" s="27"/>
      <c r="T145" s="47"/>
    </row>
    <row r="146" spans="1:20" s="19" customFormat="1" ht="15.75" x14ac:dyDescent="0.2">
      <c r="A146" s="112"/>
      <c r="B146" s="93"/>
      <c r="C146" s="93" t="s">
        <v>87</v>
      </c>
      <c r="D146" s="94" t="s">
        <v>71</v>
      </c>
      <c r="E146" s="95"/>
      <c r="F146" s="95" t="s">
        <v>121</v>
      </c>
      <c r="G146" s="96">
        <f>K7+91</f>
        <v>41244</v>
      </c>
      <c r="H146" s="96">
        <f>G146+J146</f>
        <v>41304</v>
      </c>
      <c r="I146" s="97"/>
      <c r="J146" s="98">
        <v>60</v>
      </c>
      <c r="K146" s="99" t="str">
        <f t="shared" si="4"/>
        <v/>
      </c>
      <c r="L146" s="99" t="str">
        <f t="shared" si="5"/>
        <v/>
      </c>
      <c r="M146" s="99" t="str">
        <f t="shared" si="6"/>
        <v>X</v>
      </c>
      <c r="N146" s="95"/>
      <c r="O146" s="100"/>
      <c r="P146" s="103"/>
      <c r="Q146" s="101"/>
      <c r="R146" s="101"/>
      <c r="S146" s="102"/>
      <c r="T146" s="95"/>
    </row>
    <row r="147" spans="1:20" s="19" customFormat="1" ht="15.75" x14ac:dyDescent="0.2">
      <c r="A147" s="29"/>
      <c r="B147" s="29"/>
      <c r="C147" s="27" t="s">
        <v>87</v>
      </c>
      <c r="D147" s="32" t="s">
        <v>157</v>
      </c>
      <c r="E147" s="30"/>
      <c r="F147" s="30" t="s">
        <v>311</v>
      </c>
      <c r="G147" s="31">
        <f>K7+30</f>
        <v>41183</v>
      </c>
      <c r="H147" s="116">
        <f t="shared" si="3"/>
        <v>41186</v>
      </c>
      <c r="I147" s="31"/>
      <c r="J147" s="118">
        <v>3</v>
      </c>
      <c r="K147" s="117" t="str">
        <f t="shared" si="4"/>
        <v/>
      </c>
      <c r="L147" s="117" t="str">
        <f t="shared" si="5"/>
        <v>X</v>
      </c>
      <c r="M147" s="117" t="str">
        <f t="shared" si="6"/>
        <v/>
      </c>
      <c r="N147" s="47"/>
      <c r="O147" s="22"/>
      <c r="P147" s="18"/>
      <c r="Q147" s="27"/>
      <c r="R147" s="22"/>
      <c r="S147" s="27"/>
      <c r="T147" s="47"/>
    </row>
    <row r="148" spans="1:20" s="19" customFormat="1" ht="15.75" x14ac:dyDescent="0.2">
      <c r="A148" s="29"/>
      <c r="B148" s="29"/>
      <c r="C148" s="27" t="s">
        <v>87</v>
      </c>
      <c r="D148" s="32" t="s">
        <v>152</v>
      </c>
      <c r="E148" s="30"/>
      <c r="F148" s="30" t="s">
        <v>311</v>
      </c>
      <c r="G148" s="31">
        <f>K7+30</f>
        <v>41183</v>
      </c>
      <c r="H148" s="116">
        <f t="shared" si="3"/>
        <v>41198</v>
      </c>
      <c r="I148" s="31"/>
      <c r="J148" s="118">
        <v>15</v>
      </c>
      <c r="K148" s="117" t="str">
        <f t="shared" si="4"/>
        <v/>
      </c>
      <c r="L148" s="117" t="str">
        <f t="shared" si="5"/>
        <v>X</v>
      </c>
      <c r="M148" s="117" t="str">
        <f t="shared" si="6"/>
        <v/>
      </c>
      <c r="N148" s="47"/>
      <c r="O148" s="22"/>
      <c r="P148" s="18"/>
      <c r="Q148" s="27"/>
      <c r="R148" s="22"/>
      <c r="S148" s="27"/>
      <c r="T148" s="47"/>
    </row>
    <row r="149" spans="1:20" s="19" customFormat="1" ht="15.75" x14ac:dyDescent="0.2">
      <c r="A149" s="29"/>
      <c r="B149" s="29"/>
      <c r="C149" s="27" t="s">
        <v>87</v>
      </c>
      <c r="D149" s="32" t="s">
        <v>153</v>
      </c>
      <c r="E149" s="30"/>
      <c r="F149" s="30" t="s">
        <v>313</v>
      </c>
      <c r="G149" s="31">
        <f>K7+60</f>
        <v>41213</v>
      </c>
      <c r="H149" s="116">
        <f t="shared" si="3"/>
        <v>41273</v>
      </c>
      <c r="I149" s="31"/>
      <c r="J149" s="118">
        <v>60</v>
      </c>
      <c r="K149" s="117" t="str">
        <f t="shared" si="4"/>
        <v/>
      </c>
      <c r="L149" s="117" t="str">
        <f t="shared" si="5"/>
        <v/>
      </c>
      <c r="M149" s="117" t="str">
        <f t="shared" si="6"/>
        <v>X</v>
      </c>
      <c r="N149" s="47"/>
      <c r="O149" s="22"/>
      <c r="P149" s="18"/>
      <c r="Q149" s="27"/>
      <c r="R149" s="22"/>
      <c r="S149" s="27"/>
      <c r="T149" s="47"/>
    </row>
    <row r="150" spans="1:20" s="19" customFormat="1" ht="15.75" x14ac:dyDescent="0.2">
      <c r="A150" s="29"/>
      <c r="B150" s="29"/>
      <c r="C150" s="27" t="s">
        <v>87</v>
      </c>
      <c r="D150" s="32" t="s">
        <v>154</v>
      </c>
      <c r="E150" s="30"/>
      <c r="F150" s="30" t="s">
        <v>313</v>
      </c>
      <c r="G150" s="31">
        <f>K7+60</f>
        <v>41213</v>
      </c>
      <c r="H150" s="116">
        <f t="shared" si="3"/>
        <v>41273</v>
      </c>
      <c r="I150" s="31"/>
      <c r="J150" s="118">
        <v>60</v>
      </c>
      <c r="K150" s="117" t="str">
        <f t="shared" si="4"/>
        <v/>
      </c>
      <c r="L150" s="117" t="str">
        <f t="shared" si="5"/>
        <v/>
      </c>
      <c r="M150" s="117" t="str">
        <f t="shared" si="6"/>
        <v>X</v>
      </c>
      <c r="N150" s="47"/>
      <c r="O150" s="22"/>
      <c r="P150" s="18"/>
      <c r="Q150" s="27"/>
      <c r="R150" s="22"/>
      <c r="S150" s="27"/>
      <c r="T150" s="47"/>
    </row>
    <row r="151" spans="1:20" s="19" customFormat="1" ht="15.75" x14ac:dyDescent="0.2">
      <c r="A151" s="29"/>
      <c r="B151" s="29"/>
      <c r="C151" s="27" t="s">
        <v>87</v>
      </c>
      <c r="D151" s="32" t="s">
        <v>155</v>
      </c>
      <c r="E151" s="30"/>
      <c r="F151" s="30" t="s">
        <v>313</v>
      </c>
      <c r="G151" s="31">
        <f>K7+60</f>
        <v>41213</v>
      </c>
      <c r="H151" s="116">
        <f t="shared" si="3"/>
        <v>41223</v>
      </c>
      <c r="I151" s="31"/>
      <c r="J151" s="118">
        <v>10</v>
      </c>
      <c r="K151" s="117" t="str">
        <f t="shared" si="4"/>
        <v/>
      </c>
      <c r="L151" s="117" t="str">
        <f t="shared" si="5"/>
        <v>X</v>
      </c>
      <c r="M151" s="117" t="str">
        <f t="shared" si="6"/>
        <v/>
      </c>
      <c r="N151" s="47"/>
      <c r="O151" s="22"/>
      <c r="P151" s="18"/>
      <c r="Q151" s="27"/>
      <c r="R151" s="22"/>
      <c r="S151" s="27"/>
      <c r="T151" s="47"/>
    </row>
    <row r="152" spans="1:20" s="19" customFormat="1" ht="15.75" x14ac:dyDescent="0.2">
      <c r="A152" s="29"/>
      <c r="B152" s="29"/>
      <c r="C152" s="27" t="s">
        <v>87</v>
      </c>
      <c r="D152" s="32" t="s">
        <v>156</v>
      </c>
      <c r="E152" s="30"/>
      <c r="F152" s="30" t="s">
        <v>121</v>
      </c>
      <c r="G152" s="31">
        <f>K7+91</f>
        <v>41244</v>
      </c>
      <c r="H152" s="116">
        <f t="shared" si="3"/>
        <v>41249</v>
      </c>
      <c r="I152" s="31"/>
      <c r="J152" s="118">
        <v>5</v>
      </c>
      <c r="K152" s="117" t="str">
        <f t="shared" si="4"/>
        <v/>
      </c>
      <c r="L152" s="117" t="str">
        <f t="shared" si="5"/>
        <v/>
      </c>
      <c r="M152" s="117" t="str">
        <f t="shared" si="6"/>
        <v>X</v>
      </c>
      <c r="N152" s="47"/>
      <c r="O152" s="22"/>
      <c r="P152" s="18"/>
      <c r="Q152" s="27"/>
      <c r="R152" s="22"/>
      <c r="S152" s="27"/>
      <c r="T152" s="47"/>
    </row>
    <row r="153" spans="1:20" s="19" customFormat="1" ht="15.75" x14ac:dyDescent="0.2">
      <c r="A153" s="112"/>
      <c r="B153" s="93"/>
      <c r="C153" s="93" t="s">
        <v>87</v>
      </c>
      <c r="D153" s="94" t="s">
        <v>75</v>
      </c>
      <c r="E153" s="95"/>
      <c r="F153" s="95" t="s">
        <v>313</v>
      </c>
      <c r="G153" s="96">
        <f>K7+60</f>
        <v>41213</v>
      </c>
      <c r="H153" s="96">
        <f>G153+J153</f>
        <v>41273</v>
      </c>
      <c r="I153" s="97"/>
      <c r="J153" s="98">
        <v>60</v>
      </c>
      <c r="K153" s="99" t="str">
        <f t="shared" si="4"/>
        <v/>
      </c>
      <c r="L153" s="99" t="str">
        <f t="shared" si="5"/>
        <v/>
      </c>
      <c r="M153" s="99" t="str">
        <f t="shared" si="6"/>
        <v>X</v>
      </c>
      <c r="N153" s="95"/>
      <c r="O153" s="100"/>
      <c r="P153" s="103"/>
      <c r="Q153" s="101"/>
      <c r="R153" s="101"/>
      <c r="S153" s="102"/>
      <c r="T153" s="95"/>
    </row>
    <row r="154" spans="1:20" s="19" customFormat="1" ht="15.75" x14ac:dyDescent="0.2">
      <c r="A154" s="29"/>
      <c r="B154" s="29"/>
      <c r="C154" s="27" t="s">
        <v>87</v>
      </c>
      <c r="D154" s="32" t="s">
        <v>158</v>
      </c>
      <c r="E154" s="30"/>
      <c r="F154" s="30" t="s">
        <v>120</v>
      </c>
      <c r="G154" s="31">
        <f>K7</f>
        <v>41153</v>
      </c>
      <c r="H154" s="116">
        <f t="shared" si="3"/>
        <v>41158</v>
      </c>
      <c r="I154" s="31"/>
      <c r="J154" s="118">
        <v>5</v>
      </c>
      <c r="K154" s="117" t="str">
        <f t="shared" si="4"/>
        <v/>
      </c>
      <c r="L154" s="117" t="str">
        <f t="shared" si="5"/>
        <v>X</v>
      </c>
      <c r="M154" s="117" t="str">
        <f t="shared" si="6"/>
        <v/>
      </c>
      <c r="N154" s="47"/>
      <c r="O154" s="22"/>
      <c r="P154" s="18"/>
      <c r="Q154" s="27"/>
      <c r="R154" s="22"/>
      <c r="S154" s="27"/>
      <c r="T154" s="47"/>
    </row>
    <row r="155" spans="1:20" s="19" customFormat="1" ht="15.75" x14ac:dyDescent="0.2">
      <c r="A155" s="29"/>
      <c r="B155" s="29"/>
      <c r="C155" s="27" t="s">
        <v>87</v>
      </c>
      <c r="D155" s="32" t="s">
        <v>159</v>
      </c>
      <c r="E155" s="30"/>
      <c r="F155" s="30" t="s">
        <v>120</v>
      </c>
      <c r="G155" s="31">
        <f>K7</f>
        <v>41153</v>
      </c>
      <c r="H155" s="116">
        <f t="shared" si="3"/>
        <v>41163</v>
      </c>
      <c r="I155" s="31"/>
      <c r="J155" s="118">
        <v>10</v>
      </c>
      <c r="K155" s="117" t="str">
        <f t="shared" si="4"/>
        <v/>
      </c>
      <c r="L155" s="117" t="str">
        <f t="shared" si="5"/>
        <v>X</v>
      </c>
      <c r="M155" s="117" t="str">
        <f t="shared" si="6"/>
        <v/>
      </c>
      <c r="N155" s="47"/>
      <c r="O155" s="22"/>
      <c r="P155" s="18"/>
      <c r="Q155" s="27"/>
      <c r="R155" s="22"/>
      <c r="S155" s="27"/>
      <c r="T155" s="47"/>
    </row>
    <row r="156" spans="1:20" s="19" customFormat="1" ht="15.75" x14ac:dyDescent="0.2">
      <c r="A156" s="29"/>
      <c r="B156" s="29"/>
      <c r="C156" s="27" t="s">
        <v>87</v>
      </c>
      <c r="D156" s="32" t="s">
        <v>160</v>
      </c>
      <c r="E156" s="30"/>
      <c r="F156" s="30" t="s">
        <v>311</v>
      </c>
      <c r="G156" s="31">
        <f>K7+30</f>
        <v>41183</v>
      </c>
      <c r="H156" s="116">
        <f t="shared" si="3"/>
        <v>41213</v>
      </c>
      <c r="I156" s="31"/>
      <c r="J156" s="118">
        <v>30</v>
      </c>
      <c r="K156" s="117" t="str">
        <f t="shared" si="4"/>
        <v/>
      </c>
      <c r="L156" s="117" t="str">
        <f t="shared" si="5"/>
        <v>X</v>
      </c>
      <c r="M156" s="117" t="str">
        <f t="shared" si="6"/>
        <v/>
      </c>
      <c r="N156" s="47"/>
      <c r="O156" s="22"/>
      <c r="P156" s="18"/>
      <c r="Q156" s="27"/>
      <c r="R156" s="22"/>
      <c r="S156" s="27"/>
      <c r="T156" s="47"/>
    </row>
    <row r="157" spans="1:20" s="19" customFormat="1" ht="15.75" x14ac:dyDescent="0.2">
      <c r="A157" s="29"/>
      <c r="B157" s="29"/>
      <c r="C157" s="27" t="s">
        <v>87</v>
      </c>
      <c r="D157" s="32" t="s">
        <v>161</v>
      </c>
      <c r="E157" s="30"/>
      <c r="F157" s="30" t="s">
        <v>313</v>
      </c>
      <c r="G157" s="31">
        <f>K7+60</f>
        <v>41213</v>
      </c>
      <c r="H157" s="116">
        <f t="shared" ref="H157:H158" si="32">G157+J157</f>
        <v>41273</v>
      </c>
      <c r="I157" s="31"/>
      <c r="J157" s="118">
        <v>60</v>
      </c>
      <c r="K157" s="117" t="str">
        <f t="shared" ref="K157:K220" si="33">IF(H157=0,"",IF(H157&lt;=$K$7, "X", ""))</f>
        <v/>
      </c>
      <c r="L157" s="117" t="str">
        <f t="shared" ref="L157:L220" si="34">IF(H157&lt;$K$7, "",IF(H157&lt;=$L$7,"X", ""))</f>
        <v/>
      </c>
      <c r="M157" s="117" t="str">
        <f t="shared" ref="M157:M220" si="35">IF(H157&lt;$L$7, "",IF(H157&gt;$L$7,"X", ""))</f>
        <v>X</v>
      </c>
      <c r="N157" s="47"/>
      <c r="O157" s="22"/>
      <c r="P157" s="18"/>
      <c r="Q157" s="27"/>
      <c r="R157" s="22"/>
      <c r="S157" s="27"/>
      <c r="T157" s="47"/>
    </row>
    <row r="158" spans="1:20" s="19" customFormat="1" ht="15.75" x14ac:dyDescent="0.2">
      <c r="A158" s="29"/>
      <c r="B158" s="29"/>
      <c r="C158" s="27" t="s">
        <v>87</v>
      </c>
      <c r="D158" s="32" t="s">
        <v>162</v>
      </c>
      <c r="E158" s="30"/>
      <c r="F158" s="30" t="s">
        <v>313</v>
      </c>
      <c r="G158" s="31">
        <f>K7+60</f>
        <v>41213</v>
      </c>
      <c r="H158" s="116">
        <f t="shared" si="32"/>
        <v>41273</v>
      </c>
      <c r="I158" s="31"/>
      <c r="J158" s="118">
        <v>60</v>
      </c>
      <c r="K158" s="117" t="str">
        <f t="shared" si="33"/>
        <v/>
      </c>
      <c r="L158" s="117" t="str">
        <f t="shared" si="34"/>
        <v/>
      </c>
      <c r="M158" s="117" t="str">
        <f t="shared" si="35"/>
        <v>X</v>
      </c>
      <c r="N158" s="47"/>
      <c r="O158" s="22"/>
      <c r="P158" s="18"/>
      <c r="Q158" s="27"/>
      <c r="R158" s="22"/>
      <c r="S158" s="27"/>
      <c r="T158" s="47"/>
    </row>
    <row r="159" spans="1:20" s="19" customFormat="1" ht="15.75" x14ac:dyDescent="0.2">
      <c r="A159" s="155"/>
      <c r="B159" s="156"/>
      <c r="C159" s="156" t="s">
        <v>87</v>
      </c>
      <c r="D159" s="157" t="s">
        <v>420</v>
      </c>
      <c r="E159" s="158"/>
      <c r="F159" s="158" t="s">
        <v>312</v>
      </c>
      <c r="G159" s="159">
        <f>K7</f>
        <v>41153</v>
      </c>
      <c r="H159" s="159">
        <f>G159+J159</f>
        <v>41331</v>
      </c>
      <c r="I159" s="160"/>
      <c r="J159" s="161">
        <v>178</v>
      </c>
      <c r="K159" s="162" t="str">
        <f t="shared" ref="K159:K170" si="36">IF(H159=0,"",IF(H159&lt;=$K$7, "X", ""))</f>
        <v/>
      </c>
      <c r="L159" s="162" t="str">
        <f t="shared" ref="L159:L170" si="37">IF(H159&lt;$K$7, "",IF(H159&lt;=$L$7,"X", ""))</f>
        <v/>
      </c>
      <c r="M159" s="162" t="str">
        <f t="shared" ref="M159:M170" si="38">IF(H159&lt;$L$7, "",IF(H159&gt;$L$7,"X", ""))</f>
        <v>X</v>
      </c>
      <c r="N159" s="158"/>
      <c r="O159" s="163"/>
      <c r="P159" s="103"/>
      <c r="Q159" s="164"/>
      <c r="R159" s="164"/>
      <c r="S159" s="165"/>
      <c r="T159" s="158"/>
    </row>
    <row r="160" spans="1:20" s="19" customFormat="1" ht="15.75" x14ac:dyDescent="0.2">
      <c r="A160" s="112"/>
      <c r="B160" s="93"/>
      <c r="C160" s="93" t="s">
        <v>87</v>
      </c>
      <c r="D160" s="94" t="s">
        <v>250</v>
      </c>
      <c r="E160" s="95"/>
      <c r="F160" s="95" t="s">
        <v>313</v>
      </c>
      <c r="G160" s="96" t="e">
        <f>#REF!+60</f>
        <v>#REF!</v>
      </c>
      <c r="H160" s="96" t="e">
        <f>G160+J160</f>
        <v>#REF!</v>
      </c>
      <c r="I160" s="97"/>
      <c r="J160" s="98">
        <v>90</v>
      </c>
      <c r="K160" s="99" t="e">
        <f t="shared" si="36"/>
        <v>#REF!</v>
      </c>
      <c r="L160" s="99" t="e">
        <f t="shared" si="37"/>
        <v>#REF!</v>
      </c>
      <c r="M160" s="99" t="e">
        <f t="shared" si="38"/>
        <v>#REF!</v>
      </c>
      <c r="N160" s="95"/>
      <c r="O160" s="100"/>
      <c r="P160" s="103"/>
      <c r="Q160" s="101"/>
      <c r="R160" s="101"/>
      <c r="S160" s="102"/>
      <c r="T160" s="95"/>
    </row>
    <row r="161" spans="1:20" s="19" customFormat="1" ht="15.75" x14ac:dyDescent="0.2">
      <c r="A161" s="29"/>
      <c r="B161" s="29"/>
      <c r="C161" s="29" t="s">
        <v>87</v>
      </c>
      <c r="D161" s="32" t="s">
        <v>251</v>
      </c>
      <c r="E161" s="30"/>
      <c r="F161" s="30" t="s">
        <v>120</v>
      </c>
      <c r="G161" s="31" t="e">
        <f>#REF!</f>
        <v>#REF!</v>
      </c>
      <c r="H161" s="116" t="e">
        <f t="shared" ref="H161:H170" si="39">G161+J161</f>
        <v>#REF!</v>
      </c>
      <c r="I161" s="31"/>
      <c r="J161" s="118">
        <v>5</v>
      </c>
      <c r="K161" s="117" t="e">
        <f t="shared" si="36"/>
        <v>#REF!</v>
      </c>
      <c r="L161" s="117" t="e">
        <f t="shared" si="37"/>
        <v>#REF!</v>
      </c>
      <c r="M161" s="117" t="e">
        <f t="shared" si="38"/>
        <v>#REF!</v>
      </c>
      <c r="N161" s="47"/>
      <c r="O161" s="22"/>
      <c r="P161" s="18"/>
      <c r="Q161" s="27"/>
      <c r="R161" s="22"/>
      <c r="S161" s="27"/>
      <c r="T161" s="47"/>
    </row>
    <row r="162" spans="1:20" s="19" customFormat="1" ht="15.75" x14ac:dyDescent="0.2">
      <c r="A162" s="29"/>
      <c r="B162" s="29"/>
      <c r="C162" s="29" t="s">
        <v>87</v>
      </c>
      <c r="D162" s="32" t="s">
        <v>252</v>
      </c>
      <c r="E162" s="30"/>
      <c r="F162" s="30" t="s">
        <v>120</v>
      </c>
      <c r="G162" s="31" t="e">
        <f>#REF!</f>
        <v>#REF!</v>
      </c>
      <c r="H162" s="116" t="e">
        <f t="shared" si="39"/>
        <v>#REF!</v>
      </c>
      <c r="I162" s="31"/>
      <c r="J162" s="118">
        <v>5</v>
      </c>
      <c r="K162" s="117" t="e">
        <f t="shared" si="36"/>
        <v>#REF!</v>
      </c>
      <c r="L162" s="117" t="e">
        <f t="shared" si="37"/>
        <v>#REF!</v>
      </c>
      <c r="M162" s="117" t="e">
        <f t="shared" si="38"/>
        <v>#REF!</v>
      </c>
      <c r="N162" s="47"/>
      <c r="O162" s="22"/>
      <c r="P162" s="18"/>
      <c r="Q162" s="27"/>
      <c r="R162" s="22"/>
      <c r="S162" s="27"/>
      <c r="T162" s="47"/>
    </row>
    <row r="163" spans="1:20" s="19" customFormat="1" ht="15.75" x14ac:dyDescent="0.2">
      <c r="A163" s="29"/>
      <c r="B163" s="29"/>
      <c r="C163" s="29" t="s">
        <v>87</v>
      </c>
      <c r="D163" s="32" t="s">
        <v>253</v>
      </c>
      <c r="E163" s="30"/>
      <c r="F163" s="30" t="s">
        <v>311</v>
      </c>
      <c r="G163" s="31" t="e">
        <f>#REF!+30</f>
        <v>#REF!</v>
      </c>
      <c r="H163" s="116" t="e">
        <f t="shared" si="39"/>
        <v>#REF!</v>
      </c>
      <c r="I163" s="31"/>
      <c r="J163" s="118">
        <v>5</v>
      </c>
      <c r="K163" s="117" t="e">
        <f t="shared" si="36"/>
        <v>#REF!</v>
      </c>
      <c r="L163" s="117" t="e">
        <f t="shared" si="37"/>
        <v>#REF!</v>
      </c>
      <c r="M163" s="117" t="e">
        <f t="shared" si="38"/>
        <v>#REF!</v>
      </c>
      <c r="N163" s="47"/>
      <c r="O163" s="22"/>
      <c r="P163" s="18"/>
      <c r="Q163" s="27"/>
      <c r="R163" s="22"/>
      <c r="S163" s="27"/>
      <c r="T163" s="47"/>
    </row>
    <row r="164" spans="1:20" s="19" customFormat="1" ht="15.75" x14ac:dyDescent="0.2">
      <c r="A164" s="29"/>
      <c r="B164" s="29"/>
      <c r="C164" s="29" t="s">
        <v>87</v>
      </c>
      <c r="D164" s="32" t="s">
        <v>254</v>
      </c>
      <c r="E164" s="30"/>
      <c r="F164" s="30" t="s">
        <v>312</v>
      </c>
      <c r="G164" s="31" t="e">
        <f>#REF!</f>
        <v>#REF!</v>
      </c>
      <c r="H164" s="116" t="e">
        <f t="shared" si="39"/>
        <v>#REF!</v>
      </c>
      <c r="I164" s="31"/>
      <c r="J164" s="118">
        <v>5</v>
      </c>
      <c r="K164" s="117" t="e">
        <f t="shared" si="36"/>
        <v>#REF!</v>
      </c>
      <c r="L164" s="117" t="e">
        <f t="shared" si="37"/>
        <v>#REF!</v>
      </c>
      <c r="M164" s="117" t="e">
        <f t="shared" si="38"/>
        <v>#REF!</v>
      </c>
      <c r="N164" s="47"/>
      <c r="O164" s="22"/>
      <c r="P164" s="18"/>
      <c r="Q164" s="27"/>
      <c r="R164" s="22"/>
      <c r="S164" s="27"/>
      <c r="T164" s="47"/>
    </row>
    <row r="165" spans="1:20" s="19" customFormat="1" ht="15.75" x14ac:dyDescent="0.2">
      <c r="A165" s="29"/>
      <c r="B165" s="29"/>
      <c r="C165" s="29" t="s">
        <v>87</v>
      </c>
      <c r="D165" s="32" t="s">
        <v>255</v>
      </c>
      <c r="E165" s="30"/>
      <c r="F165" s="30" t="s">
        <v>311</v>
      </c>
      <c r="G165" s="31" t="e">
        <f>#REF!+30</f>
        <v>#REF!</v>
      </c>
      <c r="H165" s="116" t="e">
        <f t="shared" si="39"/>
        <v>#REF!</v>
      </c>
      <c r="I165" s="31"/>
      <c r="J165" s="118">
        <v>15</v>
      </c>
      <c r="K165" s="117" t="e">
        <f t="shared" si="36"/>
        <v>#REF!</v>
      </c>
      <c r="L165" s="117" t="e">
        <f t="shared" si="37"/>
        <v>#REF!</v>
      </c>
      <c r="M165" s="117" t="e">
        <f t="shared" si="38"/>
        <v>#REF!</v>
      </c>
      <c r="N165" s="47"/>
      <c r="O165" s="22"/>
      <c r="P165" s="18"/>
      <c r="Q165" s="27"/>
      <c r="R165" s="22"/>
      <c r="S165" s="27"/>
      <c r="T165" s="47"/>
    </row>
    <row r="166" spans="1:20" s="19" customFormat="1" ht="30" x14ac:dyDescent="0.2">
      <c r="A166" s="29"/>
      <c r="B166" s="29"/>
      <c r="C166" s="29" t="s">
        <v>87</v>
      </c>
      <c r="D166" s="32" t="s">
        <v>256</v>
      </c>
      <c r="E166" s="30"/>
      <c r="F166" s="30" t="s">
        <v>311</v>
      </c>
      <c r="G166" s="31" t="e">
        <f>#REF!+30</f>
        <v>#REF!</v>
      </c>
      <c r="H166" s="116" t="e">
        <f t="shared" si="39"/>
        <v>#REF!</v>
      </c>
      <c r="I166" s="31"/>
      <c r="J166" s="118">
        <v>15</v>
      </c>
      <c r="K166" s="117" t="e">
        <f t="shared" si="36"/>
        <v>#REF!</v>
      </c>
      <c r="L166" s="117" t="e">
        <f t="shared" si="37"/>
        <v>#REF!</v>
      </c>
      <c r="M166" s="117" t="e">
        <f t="shared" si="38"/>
        <v>#REF!</v>
      </c>
      <c r="N166" s="47"/>
      <c r="O166" s="22"/>
      <c r="P166" s="18"/>
      <c r="Q166" s="27"/>
      <c r="R166" s="22"/>
      <c r="S166" s="27"/>
      <c r="T166" s="47"/>
    </row>
    <row r="167" spans="1:20" s="19" customFormat="1" ht="15.75" x14ac:dyDescent="0.2">
      <c r="A167" s="29"/>
      <c r="B167" s="29"/>
      <c r="C167" s="29" t="s">
        <v>87</v>
      </c>
      <c r="D167" s="32" t="s">
        <v>257</v>
      </c>
      <c r="E167" s="30"/>
      <c r="F167" s="30" t="s">
        <v>313</v>
      </c>
      <c r="G167" s="31" t="e">
        <f>#REF!+60</f>
        <v>#REF!</v>
      </c>
      <c r="H167" s="116" t="e">
        <f t="shared" si="39"/>
        <v>#REF!</v>
      </c>
      <c r="I167" s="31"/>
      <c r="J167" s="118">
        <v>10</v>
      </c>
      <c r="K167" s="117" t="e">
        <f t="shared" si="36"/>
        <v>#REF!</v>
      </c>
      <c r="L167" s="117" t="e">
        <f t="shared" si="37"/>
        <v>#REF!</v>
      </c>
      <c r="M167" s="117" t="e">
        <f t="shared" si="38"/>
        <v>#REF!</v>
      </c>
      <c r="N167" s="47"/>
      <c r="O167" s="22"/>
      <c r="P167" s="18"/>
      <c r="Q167" s="27"/>
      <c r="R167" s="22"/>
      <c r="S167" s="27"/>
      <c r="T167" s="47"/>
    </row>
    <row r="168" spans="1:20" s="19" customFormat="1" ht="30.75" customHeight="1" x14ac:dyDescent="0.2">
      <c r="A168" s="29"/>
      <c r="B168" s="29"/>
      <c r="C168" s="29" t="s">
        <v>87</v>
      </c>
      <c r="D168" s="32" t="s">
        <v>258</v>
      </c>
      <c r="E168" s="30"/>
      <c r="F168" s="30" t="s">
        <v>311</v>
      </c>
      <c r="G168" s="31" t="e">
        <f>#REF!+30</f>
        <v>#REF!</v>
      </c>
      <c r="H168" s="116" t="e">
        <f t="shared" si="39"/>
        <v>#REF!</v>
      </c>
      <c r="I168" s="31"/>
      <c r="J168" s="118">
        <v>15</v>
      </c>
      <c r="K168" s="117" t="e">
        <f t="shared" si="36"/>
        <v>#REF!</v>
      </c>
      <c r="L168" s="117" t="e">
        <f t="shared" si="37"/>
        <v>#REF!</v>
      </c>
      <c r="M168" s="117" t="e">
        <f t="shared" si="38"/>
        <v>#REF!</v>
      </c>
      <c r="N168" s="47"/>
      <c r="O168" s="22"/>
      <c r="P168" s="18"/>
      <c r="Q168" s="27"/>
      <c r="R168" s="22"/>
      <c r="S168" s="27"/>
      <c r="T168" s="47"/>
    </row>
    <row r="169" spans="1:20" s="19" customFormat="1" ht="15.75" x14ac:dyDescent="0.2">
      <c r="A169" s="29"/>
      <c r="B169" s="29"/>
      <c r="C169" s="29" t="s">
        <v>87</v>
      </c>
      <c r="D169" s="32" t="s">
        <v>259</v>
      </c>
      <c r="E169" s="30"/>
      <c r="F169" s="30" t="s">
        <v>311</v>
      </c>
      <c r="G169" s="31" t="e">
        <f>#REF!+30</f>
        <v>#REF!</v>
      </c>
      <c r="H169" s="116" t="e">
        <f t="shared" si="39"/>
        <v>#REF!</v>
      </c>
      <c r="I169" s="31"/>
      <c r="J169" s="118">
        <v>30</v>
      </c>
      <c r="K169" s="117" t="e">
        <f t="shared" si="36"/>
        <v>#REF!</v>
      </c>
      <c r="L169" s="117" t="e">
        <f t="shared" si="37"/>
        <v>#REF!</v>
      </c>
      <c r="M169" s="117" t="e">
        <f t="shared" si="38"/>
        <v>#REF!</v>
      </c>
      <c r="N169" s="47"/>
      <c r="O169" s="22"/>
      <c r="P169" s="18"/>
      <c r="Q169" s="27"/>
      <c r="R169" s="22"/>
      <c r="S169" s="27"/>
      <c r="T169" s="47"/>
    </row>
    <row r="170" spans="1:20" s="19" customFormat="1" ht="15.75" x14ac:dyDescent="0.2">
      <c r="A170" s="29"/>
      <c r="B170" s="29"/>
      <c r="C170" s="29" t="s">
        <v>87</v>
      </c>
      <c r="D170" s="32" t="s">
        <v>260</v>
      </c>
      <c r="E170" s="30"/>
      <c r="F170" s="30" t="s">
        <v>121</v>
      </c>
      <c r="G170" s="31" t="e">
        <f>#REF!+91</f>
        <v>#REF!</v>
      </c>
      <c r="H170" s="116" t="e">
        <f t="shared" si="39"/>
        <v>#REF!</v>
      </c>
      <c r="I170" s="31"/>
      <c r="J170" s="118">
        <v>90</v>
      </c>
      <c r="K170" s="117" t="e">
        <f t="shared" si="36"/>
        <v>#REF!</v>
      </c>
      <c r="L170" s="117" t="e">
        <f t="shared" si="37"/>
        <v>#REF!</v>
      </c>
      <c r="M170" s="117" t="e">
        <f t="shared" si="38"/>
        <v>#REF!</v>
      </c>
      <c r="N170" s="47"/>
      <c r="O170" s="22"/>
      <c r="P170" s="18"/>
      <c r="Q170" s="27"/>
      <c r="R170" s="22"/>
      <c r="S170" s="27"/>
      <c r="T170" s="47"/>
    </row>
    <row r="171" spans="1:20" s="19" customFormat="1" ht="15.75" x14ac:dyDescent="0.2">
      <c r="A171" s="112"/>
      <c r="B171" s="93"/>
      <c r="C171" s="93" t="s">
        <v>87</v>
      </c>
      <c r="D171" s="94" t="s">
        <v>438</v>
      </c>
      <c r="E171" s="95"/>
      <c r="F171" s="95" t="s">
        <v>312</v>
      </c>
      <c r="G171" s="96">
        <f>K7</f>
        <v>41153</v>
      </c>
      <c r="H171" s="96">
        <f>G171+J171</f>
        <v>41198</v>
      </c>
      <c r="I171" s="97"/>
      <c r="J171" s="98">
        <v>45</v>
      </c>
      <c r="K171" s="99" t="str">
        <f t="shared" si="33"/>
        <v/>
      </c>
      <c r="L171" s="99" t="str">
        <f t="shared" si="34"/>
        <v>X</v>
      </c>
      <c r="M171" s="99" t="str">
        <f t="shared" si="35"/>
        <v/>
      </c>
      <c r="N171" s="95"/>
      <c r="O171" s="100"/>
      <c r="P171" s="103"/>
      <c r="Q171" s="101"/>
      <c r="R171" s="101"/>
      <c r="S171" s="102"/>
      <c r="T171" s="95"/>
    </row>
    <row r="172" spans="1:20" s="19" customFormat="1" ht="15.75" x14ac:dyDescent="0.2">
      <c r="A172" s="29"/>
      <c r="B172" s="29"/>
      <c r="C172" s="27" t="s">
        <v>87</v>
      </c>
      <c r="D172" s="32" t="s">
        <v>172</v>
      </c>
      <c r="E172" s="30"/>
      <c r="F172" s="30" t="s">
        <v>120</v>
      </c>
      <c r="G172" s="31">
        <f>K7</f>
        <v>41153</v>
      </c>
      <c r="H172" s="116">
        <f t="shared" ref="H172:H177" si="40">G172+J172</f>
        <v>41158</v>
      </c>
      <c r="I172" s="31"/>
      <c r="J172" s="118">
        <v>5</v>
      </c>
      <c r="K172" s="117" t="str">
        <f t="shared" si="33"/>
        <v/>
      </c>
      <c r="L172" s="117" t="str">
        <f t="shared" si="34"/>
        <v>X</v>
      </c>
      <c r="M172" s="117" t="str">
        <f t="shared" si="35"/>
        <v/>
      </c>
      <c r="N172" s="47"/>
      <c r="O172" s="22"/>
      <c r="P172" s="18"/>
      <c r="Q172" s="27"/>
      <c r="R172" s="22"/>
      <c r="S172" s="27"/>
      <c r="T172" s="47"/>
    </row>
    <row r="173" spans="1:20" s="19" customFormat="1" ht="15.75" x14ac:dyDescent="0.2">
      <c r="A173" s="29"/>
      <c r="B173" s="29"/>
      <c r="C173" s="27" t="s">
        <v>87</v>
      </c>
      <c r="D173" s="32" t="s">
        <v>176</v>
      </c>
      <c r="E173" s="30"/>
      <c r="F173" s="30" t="s">
        <v>120</v>
      </c>
      <c r="G173" s="31">
        <f>K7</f>
        <v>41153</v>
      </c>
      <c r="H173" s="116">
        <f t="shared" si="40"/>
        <v>41158</v>
      </c>
      <c r="I173" s="31"/>
      <c r="J173" s="118">
        <v>5</v>
      </c>
      <c r="K173" s="117" t="str">
        <f t="shared" si="33"/>
        <v/>
      </c>
      <c r="L173" s="117" t="str">
        <f t="shared" si="34"/>
        <v>X</v>
      </c>
      <c r="M173" s="117" t="str">
        <f t="shared" si="35"/>
        <v/>
      </c>
      <c r="N173" s="47"/>
      <c r="O173" s="22"/>
      <c r="P173" s="18"/>
      <c r="Q173" s="27"/>
      <c r="R173" s="22"/>
      <c r="S173" s="27"/>
      <c r="T173" s="47"/>
    </row>
    <row r="174" spans="1:20" s="19" customFormat="1" ht="15.75" x14ac:dyDescent="0.2">
      <c r="A174" s="29"/>
      <c r="B174" s="29"/>
      <c r="C174" s="27" t="s">
        <v>87</v>
      </c>
      <c r="D174" s="32" t="s">
        <v>175</v>
      </c>
      <c r="E174" s="30"/>
      <c r="F174" s="30" t="s">
        <v>120</v>
      </c>
      <c r="G174" s="31">
        <f>K7</f>
        <v>41153</v>
      </c>
      <c r="H174" s="116">
        <f t="shared" si="40"/>
        <v>41158</v>
      </c>
      <c r="I174" s="31"/>
      <c r="J174" s="118">
        <v>5</v>
      </c>
      <c r="K174" s="117" t="str">
        <f t="shared" si="33"/>
        <v/>
      </c>
      <c r="L174" s="117" t="str">
        <f t="shared" si="34"/>
        <v>X</v>
      </c>
      <c r="M174" s="117" t="str">
        <f t="shared" si="35"/>
        <v/>
      </c>
      <c r="N174" s="47"/>
      <c r="O174" s="22"/>
      <c r="P174" s="18"/>
      <c r="Q174" s="27"/>
      <c r="R174" s="22"/>
      <c r="S174" s="27"/>
      <c r="T174" s="47"/>
    </row>
    <row r="175" spans="1:20" s="19" customFormat="1" ht="15.75" x14ac:dyDescent="0.2">
      <c r="A175" s="29"/>
      <c r="B175" s="29"/>
      <c r="C175" s="27" t="s">
        <v>87</v>
      </c>
      <c r="D175" s="32" t="s">
        <v>177</v>
      </c>
      <c r="E175" s="30"/>
      <c r="F175" s="30" t="s">
        <v>120</v>
      </c>
      <c r="G175" s="31">
        <f>K7</f>
        <v>41153</v>
      </c>
      <c r="H175" s="116">
        <f t="shared" si="40"/>
        <v>41158</v>
      </c>
      <c r="I175" s="31"/>
      <c r="J175" s="118">
        <v>5</v>
      </c>
      <c r="K175" s="117" t="str">
        <f t="shared" si="33"/>
        <v/>
      </c>
      <c r="L175" s="117" t="str">
        <f t="shared" si="34"/>
        <v>X</v>
      </c>
      <c r="M175" s="117" t="str">
        <f t="shared" si="35"/>
        <v/>
      </c>
      <c r="N175" s="47"/>
      <c r="O175" s="22"/>
      <c r="P175" s="18"/>
      <c r="Q175" s="27"/>
      <c r="R175" s="22"/>
      <c r="S175" s="27"/>
      <c r="T175" s="47"/>
    </row>
    <row r="176" spans="1:20" s="19" customFormat="1" ht="15.75" x14ac:dyDescent="0.2">
      <c r="A176" s="29"/>
      <c r="B176" s="29"/>
      <c r="C176" s="27" t="s">
        <v>87</v>
      </c>
      <c r="D176" s="32" t="s">
        <v>178</v>
      </c>
      <c r="E176" s="30"/>
      <c r="F176" s="30" t="s">
        <v>120</v>
      </c>
      <c r="G176" s="31">
        <f>K7</f>
        <v>41153</v>
      </c>
      <c r="H176" s="116">
        <f t="shared" si="40"/>
        <v>41198</v>
      </c>
      <c r="I176" s="31"/>
      <c r="J176" s="118">
        <v>45</v>
      </c>
      <c r="K176" s="117" t="str">
        <f t="shared" si="33"/>
        <v/>
      </c>
      <c r="L176" s="117" t="str">
        <f t="shared" si="34"/>
        <v>X</v>
      </c>
      <c r="M176" s="117" t="str">
        <f t="shared" si="35"/>
        <v/>
      </c>
      <c r="N176" s="47"/>
      <c r="O176" s="22"/>
      <c r="P176" s="18"/>
      <c r="Q176" s="27"/>
      <c r="R176" s="22"/>
      <c r="S176" s="27"/>
      <c r="T176" s="47"/>
    </row>
    <row r="177" spans="1:20" s="19" customFormat="1" ht="15.75" x14ac:dyDescent="0.2">
      <c r="A177" s="29"/>
      <c r="B177" s="29"/>
      <c r="C177" s="27" t="s">
        <v>87</v>
      </c>
      <c r="D177" s="32" t="s">
        <v>179</v>
      </c>
      <c r="E177" s="30"/>
      <c r="F177" s="30" t="s">
        <v>312</v>
      </c>
      <c r="G177" s="31">
        <f>K7</f>
        <v>41153</v>
      </c>
      <c r="H177" s="116">
        <f t="shared" si="40"/>
        <v>41158</v>
      </c>
      <c r="I177" s="31"/>
      <c r="J177" s="118">
        <v>5</v>
      </c>
      <c r="K177" s="117" t="str">
        <f t="shared" si="33"/>
        <v/>
      </c>
      <c r="L177" s="117" t="str">
        <f t="shared" si="34"/>
        <v>X</v>
      </c>
      <c r="M177" s="117" t="str">
        <f t="shared" si="35"/>
        <v/>
      </c>
      <c r="N177" s="47"/>
      <c r="O177" s="22"/>
      <c r="P177" s="18"/>
      <c r="Q177" s="27"/>
      <c r="R177" s="22"/>
      <c r="S177" s="27"/>
      <c r="T177" s="47"/>
    </row>
    <row r="178" spans="1:20" s="19" customFormat="1" ht="15.75" x14ac:dyDescent="0.2">
      <c r="A178" s="112"/>
      <c r="B178" s="93"/>
      <c r="C178" s="153" t="s">
        <v>87</v>
      </c>
      <c r="D178" s="94" t="s">
        <v>456</v>
      </c>
      <c r="E178" s="95"/>
      <c r="F178" s="95" t="s">
        <v>314</v>
      </c>
      <c r="G178" s="96">
        <f>K3+90</f>
        <v>90</v>
      </c>
      <c r="H178" s="96">
        <f>G178+J178</f>
        <v>120</v>
      </c>
      <c r="I178" s="97"/>
      <c r="J178" s="98">
        <v>30</v>
      </c>
      <c r="K178" s="99" t="str">
        <f t="shared" si="33"/>
        <v>X</v>
      </c>
      <c r="L178" s="99" t="str">
        <f t="shared" si="34"/>
        <v/>
      </c>
      <c r="M178" s="99" t="str">
        <f t="shared" si="35"/>
        <v/>
      </c>
      <c r="N178" s="95"/>
      <c r="O178" s="100"/>
      <c r="P178" s="103"/>
      <c r="Q178" s="101"/>
      <c r="R178" s="101"/>
      <c r="S178" s="102"/>
      <c r="T178" s="95"/>
    </row>
    <row r="179" spans="1:20" s="19" customFormat="1" ht="15.75" x14ac:dyDescent="0.2">
      <c r="A179" s="29"/>
      <c r="B179" s="29"/>
      <c r="C179" s="178" t="s">
        <v>87</v>
      </c>
      <c r="D179" s="32" t="s">
        <v>457</v>
      </c>
      <c r="E179" s="30"/>
      <c r="F179" s="30" t="s">
        <v>311</v>
      </c>
      <c r="G179" s="31" t="e">
        <f>#REF!+30</f>
        <v>#REF!</v>
      </c>
      <c r="H179" s="116" t="e">
        <f t="shared" ref="H179:H180" si="41">G179+J179</f>
        <v>#REF!</v>
      </c>
      <c r="I179" s="31"/>
      <c r="J179" s="118">
        <v>2</v>
      </c>
      <c r="K179" s="117" t="e">
        <f t="shared" si="33"/>
        <v>#REF!</v>
      </c>
      <c r="L179" s="117" t="e">
        <f t="shared" si="34"/>
        <v>#REF!</v>
      </c>
      <c r="M179" s="117" t="e">
        <f t="shared" si="35"/>
        <v>#REF!</v>
      </c>
      <c r="N179" s="47"/>
      <c r="O179" s="22"/>
      <c r="P179" s="18"/>
      <c r="Q179" s="27"/>
      <c r="R179" s="22"/>
      <c r="S179" s="27"/>
      <c r="T179" s="47"/>
    </row>
    <row r="180" spans="1:20" s="19" customFormat="1" ht="15.75" x14ac:dyDescent="0.2">
      <c r="A180" s="29"/>
      <c r="B180" s="29"/>
      <c r="C180" s="179" t="s">
        <v>87</v>
      </c>
      <c r="D180" s="32" t="s">
        <v>296</v>
      </c>
      <c r="E180" s="30"/>
      <c r="F180" s="30" t="s">
        <v>121</v>
      </c>
      <c r="G180" s="31" t="e">
        <f>#REF!+91</f>
        <v>#REF!</v>
      </c>
      <c r="H180" s="116" t="e">
        <f t="shared" si="41"/>
        <v>#REF!</v>
      </c>
      <c r="I180" s="31"/>
      <c r="J180" s="118">
        <v>60</v>
      </c>
      <c r="K180" s="117" t="e">
        <f t="shared" si="33"/>
        <v>#REF!</v>
      </c>
      <c r="L180" s="117" t="e">
        <f t="shared" si="34"/>
        <v>#REF!</v>
      </c>
      <c r="M180" s="117" t="e">
        <f t="shared" si="35"/>
        <v>#REF!</v>
      </c>
      <c r="N180" s="47"/>
      <c r="O180" s="22"/>
      <c r="P180" s="18"/>
      <c r="Q180" s="27"/>
      <c r="R180" s="22"/>
      <c r="S180" s="27"/>
      <c r="T180" s="47"/>
    </row>
    <row r="181" spans="1:20" s="19" customFormat="1" ht="15.75" x14ac:dyDescent="0.2">
      <c r="A181" s="112"/>
      <c r="B181" s="93"/>
      <c r="C181" s="153" t="s">
        <v>87</v>
      </c>
      <c r="D181" s="94" t="s">
        <v>446</v>
      </c>
      <c r="E181" s="95"/>
      <c r="F181" s="95" t="s">
        <v>314</v>
      </c>
      <c r="G181" s="96" t="e">
        <f>K6+90</f>
        <v>#VALUE!</v>
      </c>
      <c r="H181" s="96" t="e">
        <f>G181+J181</f>
        <v>#VALUE!</v>
      </c>
      <c r="I181" s="97"/>
      <c r="J181" s="98">
        <v>30</v>
      </c>
      <c r="K181" s="99" t="e">
        <f t="shared" ref="K181:K190" si="42">IF(H181=0,"",IF(H181&lt;=$K$7, "X", ""))</f>
        <v>#VALUE!</v>
      </c>
      <c r="L181" s="99" t="e">
        <f t="shared" ref="L181:L190" si="43">IF(H181&lt;$K$7, "",IF(H181&lt;=$L$7,"X", ""))</f>
        <v>#VALUE!</v>
      </c>
      <c r="M181" s="99" t="e">
        <f t="shared" ref="M181:M190" si="44">IF(H181&lt;$L$7, "",IF(H181&gt;$L$7,"X", ""))</f>
        <v>#VALUE!</v>
      </c>
      <c r="N181" s="95"/>
      <c r="O181" s="100"/>
      <c r="P181" s="103"/>
      <c r="Q181" s="101"/>
      <c r="R181" s="101"/>
      <c r="S181" s="102"/>
      <c r="T181" s="95"/>
    </row>
    <row r="182" spans="1:20" s="19" customFormat="1" ht="15.75" x14ac:dyDescent="0.2">
      <c r="A182" s="29"/>
      <c r="B182" s="29"/>
      <c r="C182" s="178" t="s">
        <v>87</v>
      </c>
      <c r="D182" s="32" t="s">
        <v>442</v>
      </c>
      <c r="E182" s="30"/>
      <c r="F182" s="30" t="s">
        <v>311</v>
      </c>
      <c r="G182" s="31">
        <f>K2+30</f>
        <v>30</v>
      </c>
      <c r="H182" s="116">
        <f t="shared" ref="H182" si="45">G182+J182</f>
        <v>32</v>
      </c>
      <c r="I182" s="31"/>
      <c r="J182" s="118">
        <v>2</v>
      </c>
      <c r="K182" s="117" t="str">
        <f t="shared" ref="K182" si="46">IF(H182=0,"",IF(H182&lt;=$K$7, "X", ""))</f>
        <v>X</v>
      </c>
      <c r="L182" s="117" t="str">
        <f t="shared" ref="L182" si="47">IF(H182&lt;$K$7, "",IF(H182&lt;=$L$7,"X", ""))</f>
        <v/>
      </c>
      <c r="M182" s="117" t="str">
        <f t="shared" ref="M182" si="48">IF(H182&lt;$L$7, "",IF(H182&gt;$L$7,"X", ""))</f>
        <v/>
      </c>
      <c r="N182" s="47"/>
      <c r="O182" s="22"/>
      <c r="P182" s="18"/>
      <c r="Q182" s="27"/>
      <c r="R182" s="22"/>
      <c r="S182" s="27"/>
      <c r="T182" s="47"/>
    </row>
    <row r="183" spans="1:20" s="19" customFormat="1" ht="15.75" x14ac:dyDescent="0.2">
      <c r="A183" s="29"/>
      <c r="B183" s="29"/>
      <c r="C183" s="178" t="s">
        <v>87</v>
      </c>
      <c r="D183" s="32" t="s">
        <v>443</v>
      </c>
      <c r="E183" s="30"/>
      <c r="F183" s="30" t="s">
        <v>311</v>
      </c>
      <c r="G183" s="31">
        <f>K3+30</f>
        <v>30</v>
      </c>
      <c r="H183" s="116">
        <f t="shared" ref="H183" si="49">G183+J183</f>
        <v>32</v>
      </c>
      <c r="I183" s="31"/>
      <c r="J183" s="118">
        <v>2</v>
      </c>
      <c r="K183" s="117" t="str">
        <f t="shared" si="42"/>
        <v>X</v>
      </c>
      <c r="L183" s="117" t="str">
        <f t="shared" si="43"/>
        <v/>
      </c>
      <c r="M183" s="117" t="str">
        <f t="shared" si="44"/>
        <v/>
      </c>
      <c r="N183" s="47"/>
      <c r="O183" s="22"/>
      <c r="P183" s="18"/>
      <c r="Q183" s="27"/>
      <c r="R183" s="22"/>
      <c r="S183" s="27"/>
      <c r="T183" s="47"/>
    </row>
    <row r="184" spans="1:20" s="19" customFormat="1" ht="15.75" x14ac:dyDescent="0.2">
      <c r="A184" s="29"/>
      <c r="B184" s="29"/>
      <c r="C184" s="178" t="s">
        <v>87</v>
      </c>
      <c r="D184" s="32" t="s">
        <v>444</v>
      </c>
      <c r="E184" s="30"/>
      <c r="F184" s="30" t="s">
        <v>311</v>
      </c>
      <c r="G184" s="31">
        <f>K4+30</f>
        <v>30</v>
      </c>
      <c r="H184" s="116">
        <f t="shared" ref="H184" si="50">G184+J184</f>
        <v>32</v>
      </c>
      <c r="I184" s="31"/>
      <c r="J184" s="118">
        <v>2</v>
      </c>
      <c r="K184" s="117" t="str">
        <f t="shared" ref="K184" si="51">IF(H184=0,"",IF(H184&lt;=$K$7, "X", ""))</f>
        <v>X</v>
      </c>
      <c r="L184" s="117" t="str">
        <f t="shared" ref="L184" si="52">IF(H184&lt;$K$7, "",IF(H184&lt;=$L$7,"X", ""))</f>
        <v/>
      </c>
      <c r="M184" s="117" t="str">
        <f t="shared" ref="M184" si="53">IF(H184&lt;$L$7, "",IF(H184&gt;$L$7,"X", ""))</f>
        <v/>
      </c>
      <c r="N184" s="47"/>
      <c r="O184" s="22"/>
      <c r="P184" s="18"/>
      <c r="Q184" s="27"/>
      <c r="R184" s="22"/>
      <c r="S184" s="27"/>
      <c r="T184" s="47"/>
    </row>
    <row r="185" spans="1:20" s="19" customFormat="1" ht="15.75" x14ac:dyDescent="0.2">
      <c r="A185" s="29"/>
      <c r="B185" s="29"/>
      <c r="C185" s="178" t="s">
        <v>87</v>
      </c>
      <c r="D185" s="32" t="s">
        <v>445</v>
      </c>
      <c r="E185" s="30"/>
      <c r="F185" s="30" t="s">
        <v>311</v>
      </c>
      <c r="G185" s="31">
        <f>K5+30</f>
        <v>30</v>
      </c>
      <c r="H185" s="116">
        <f t="shared" ref="H185" si="54">G185+J185</f>
        <v>32</v>
      </c>
      <c r="I185" s="31"/>
      <c r="J185" s="118">
        <v>2</v>
      </c>
      <c r="K185" s="117" t="str">
        <f t="shared" si="42"/>
        <v>X</v>
      </c>
      <c r="L185" s="117" t="str">
        <f t="shared" si="43"/>
        <v/>
      </c>
      <c r="M185" s="117" t="str">
        <f t="shared" si="44"/>
        <v/>
      </c>
      <c r="N185" s="47"/>
      <c r="O185" s="22"/>
      <c r="P185" s="18"/>
      <c r="Q185" s="27"/>
      <c r="R185" s="22"/>
      <c r="S185" s="27"/>
      <c r="T185" s="47"/>
    </row>
    <row r="186" spans="1:20" s="19" customFormat="1" ht="15.75" x14ac:dyDescent="0.2">
      <c r="A186" s="112"/>
      <c r="B186" s="93"/>
      <c r="C186" s="153" t="s">
        <v>87</v>
      </c>
      <c r="D186" s="94" t="s">
        <v>447</v>
      </c>
      <c r="E186" s="95"/>
      <c r="F186" s="95" t="s">
        <v>314</v>
      </c>
      <c r="G186" s="96">
        <f>K7+90</f>
        <v>41243</v>
      </c>
      <c r="H186" s="96">
        <f>G186+J186</f>
        <v>41273</v>
      </c>
      <c r="I186" s="97"/>
      <c r="J186" s="98">
        <v>30</v>
      </c>
      <c r="K186" s="99" t="str">
        <f t="shared" si="42"/>
        <v/>
      </c>
      <c r="L186" s="99" t="str">
        <f t="shared" si="43"/>
        <v/>
      </c>
      <c r="M186" s="99" t="str">
        <f t="shared" si="44"/>
        <v>X</v>
      </c>
      <c r="N186" s="95"/>
      <c r="O186" s="100"/>
      <c r="P186" s="103"/>
      <c r="Q186" s="101"/>
      <c r="R186" s="101"/>
      <c r="S186" s="102"/>
      <c r="T186" s="95"/>
    </row>
    <row r="187" spans="1:20" s="19" customFormat="1" ht="15.75" x14ac:dyDescent="0.2">
      <c r="A187" s="29"/>
      <c r="B187" s="29"/>
      <c r="C187" s="27" t="s">
        <v>87</v>
      </c>
      <c r="D187" s="32" t="s">
        <v>180</v>
      </c>
      <c r="E187" s="30"/>
      <c r="F187" s="30" t="s">
        <v>120</v>
      </c>
      <c r="G187" s="31">
        <f>K17</f>
        <v>0</v>
      </c>
      <c r="H187" s="116">
        <f t="shared" ref="H187" si="55">G187+J187</f>
        <v>5</v>
      </c>
      <c r="I187" s="31"/>
      <c r="J187" s="118">
        <v>5</v>
      </c>
      <c r="K187" s="117" t="str">
        <f t="shared" si="42"/>
        <v>X</v>
      </c>
      <c r="L187" s="117" t="str">
        <f t="shared" si="43"/>
        <v/>
      </c>
      <c r="M187" s="117" t="str">
        <f t="shared" si="44"/>
        <v/>
      </c>
      <c r="N187" s="47"/>
      <c r="O187" s="22"/>
      <c r="P187" s="18"/>
      <c r="Q187" s="27"/>
      <c r="R187" s="22"/>
      <c r="S187" s="27"/>
      <c r="T187" s="47"/>
    </row>
    <row r="188" spans="1:20" s="19" customFormat="1" ht="15.75" x14ac:dyDescent="0.2">
      <c r="A188" s="29"/>
      <c r="B188" s="29"/>
      <c r="C188" s="178" t="s">
        <v>87</v>
      </c>
      <c r="D188" s="32" t="s">
        <v>448</v>
      </c>
      <c r="E188" s="30"/>
      <c r="F188" s="30" t="s">
        <v>311</v>
      </c>
      <c r="G188" s="31">
        <f>K3+30</f>
        <v>30</v>
      </c>
      <c r="H188" s="116">
        <f t="shared" ref="H188:H190" si="56">G188+J188</f>
        <v>32</v>
      </c>
      <c r="I188" s="31"/>
      <c r="J188" s="118">
        <v>2</v>
      </c>
      <c r="K188" s="117" t="str">
        <f t="shared" si="42"/>
        <v>X</v>
      </c>
      <c r="L188" s="117" t="str">
        <f t="shared" si="43"/>
        <v/>
      </c>
      <c r="M188" s="117" t="str">
        <f t="shared" si="44"/>
        <v/>
      </c>
      <c r="N188" s="47"/>
      <c r="O188" s="22"/>
      <c r="P188" s="18"/>
      <c r="Q188" s="27"/>
      <c r="R188" s="22"/>
      <c r="S188" s="27"/>
      <c r="T188" s="47"/>
    </row>
    <row r="189" spans="1:20" s="19" customFormat="1" ht="15.75" x14ac:dyDescent="0.2">
      <c r="A189" s="29"/>
      <c r="B189" s="29"/>
      <c r="C189" s="178" t="s">
        <v>87</v>
      </c>
      <c r="D189" s="32" t="s">
        <v>449</v>
      </c>
      <c r="E189" s="30"/>
      <c r="F189" s="30" t="s">
        <v>311</v>
      </c>
      <c r="G189" s="31">
        <f>K4+30</f>
        <v>30</v>
      </c>
      <c r="H189" s="116">
        <f t="shared" si="56"/>
        <v>32</v>
      </c>
      <c r="I189" s="31"/>
      <c r="J189" s="118">
        <v>2</v>
      </c>
      <c r="K189" s="117" t="str">
        <f t="shared" si="42"/>
        <v>X</v>
      </c>
      <c r="L189" s="117" t="str">
        <f t="shared" si="43"/>
        <v/>
      </c>
      <c r="M189" s="117" t="str">
        <f t="shared" si="44"/>
        <v/>
      </c>
      <c r="N189" s="47"/>
      <c r="O189" s="22"/>
      <c r="P189" s="18"/>
      <c r="Q189" s="27"/>
      <c r="R189" s="22"/>
      <c r="S189" s="27"/>
      <c r="T189" s="47"/>
    </row>
    <row r="190" spans="1:20" s="19" customFormat="1" ht="15.75" x14ac:dyDescent="0.2">
      <c r="A190" s="29"/>
      <c r="B190" s="29"/>
      <c r="C190" s="178" t="s">
        <v>87</v>
      </c>
      <c r="D190" s="32" t="s">
        <v>450</v>
      </c>
      <c r="E190" s="30"/>
      <c r="F190" s="30" t="s">
        <v>311</v>
      </c>
      <c r="G190" s="31">
        <f>K5+30</f>
        <v>30</v>
      </c>
      <c r="H190" s="116">
        <f t="shared" si="56"/>
        <v>32</v>
      </c>
      <c r="I190" s="31"/>
      <c r="J190" s="118">
        <v>2</v>
      </c>
      <c r="K190" s="117" t="str">
        <f t="shared" si="42"/>
        <v>X</v>
      </c>
      <c r="L190" s="117" t="str">
        <f t="shared" si="43"/>
        <v/>
      </c>
      <c r="M190" s="117" t="str">
        <f t="shared" si="44"/>
        <v/>
      </c>
      <c r="N190" s="47"/>
      <c r="O190" s="22"/>
      <c r="P190" s="18"/>
      <c r="Q190" s="27"/>
      <c r="R190" s="22"/>
      <c r="S190" s="27"/>
      <c r="T190" s="47"/>
    </row>
    <row r="191" spans="1:20" s="19" customFormat="1" ht="15.75" x14ac:dyDescent="0.2">
      <c r="A191" s="112"/>
      <c r="B191" s="93"/>
      <c r="C191" s="153" t="s">
        <v>87</v>
      </c>
      <c r="D191" s="94" t="s">
        <v>451</v>
      </c>
      <c r="E191" s="95"/>
      <c r="F191" s="95" t="s">
        <v>314</v>
      </c>
      <c r="G191" s="96">
        <f>K11+90</f>
        <v>90</v>
      </c>
      <c r="H191" s="96">
        <f>G191+J191</f>
        <v>120</v>
      </c>
      <c r="I191" s="97"/>
      <c r="J191" s="98">
        <v>30</v>
      </c>
      <c r="K191" s="99" t="str">
        <f t="shared" ref="K191:K195" si="57">IF(H191=0,"",IF(H191&lt;=$K$7, "X", ""))</f>
        <v>X</v>
      </c>
      <c r="L191" s="99" t="str">
        <f t="shared" ref="L191:L195" si="58">IF(H191&lt;$K$7, "",IF(H191&lt;=$L$7,"X", ""))</f>
        <v/>
      </c>
      <c r="M191" s="99" t="str">
        <f t="shared" ref="M191:M195" si="59">IF(H191&lt;$L$7, "",IF(H191&gt;$L$7,"X", ""))</f>
        <v/>
      </c>
      <c r="N191" s="95"/>
      <c r="O191" s="100"/>
      <c r="P191" s="103"/>
      <c r="Q191" s="101"/>
      <c r="R191" s="101"/>
      <c r="S191" s="102"/>
      <c r="T191" s="95"/>
    </row>
    <row r="192" spans="1:20" s="19" customFormat="1" ht="15.75" x14ac:dyDescent="0.2">
      <c r="A192" s="29"/>
      <c r="B192" s="29"/>
      <c r="C192" s="178" t="s">
        <v>87</v>
      </c>
      <c r="D192" s="32" t="s">
        <v>452</v>
      </c>
      <c r="E192" s="30"/>
      <c r="F192" s="30" t="s">
        <v>311</v>
      </c>
      <c r="G192" s="31">
        <f>K7+30</f>
        <v>41183</v>
      </c>
      <c r="H192" s="116">
        <f t="shared" ref="H192:H195" si="60">G192+J192</f>
        <v>41185</v>
      </c>
      <c r="I192" s="31"/>
      <c r="J192" s="118">
        <v>2</v>
      </c>
      <c r="K192" s="117" t="str">
        <f t="shared" si="57"/>
        <v/>
      </c>
      <c r="L192" s="117" t="str">
        <f t="shared" si="58"/>
        <v>X</v>
      </c>
      <c r="M192" s="117" t="str">
        <f t="shared" si="59"/>
        <v/>
      </c>
      <c r="N192" s="47"/>
      <c r="O192" s="22"/>
      <c r="P192" s="18"/>
      <c r="Q192" s="27"/>
      <c r="R192" s="22"/>
      <c r="S192" s="27"/>
      <c r="T192" s="47"/>
    </row>
    <row r="193" spans="1:20" s="19" customFormat="1" ht="15.75" x14ac:dyDescent="0.2">
      <c r="A193" s="29"/>
      <c r="B193" s="29"/>
      <c r="C193" s="178" t="s">
        <v>87</v>
      </c>
      <c r="D193" s="32" t="s">
        <v>453</v>
      </c>
      <c r="E193" s="30"/>
      <c r="F193" s="30" t="s">
        <v>311</v>
      </c>
      <c r="G193" s="31" t="e">
        <f>K8+30</f>
        <v>#VALUE!</v>
      </c>
      <c r="H193" s="116" t="e">
        <f t="shared" si="60"/>
        <v>#VALUE!</v>
      </c>
      <c r="I193" s="31"/>
      <c r="J193" s="118">
        <v>2</v>
      </c>
      <c r="K193" s="117" t="e">
        <f t="shared" si="57"/>
        <v>#VALUE!</v>
      </c>
      <c r="L193" s="117" t="e">
        <f t="shared" si="58"/>
        <v>#VALUE!</v>
      </c>
      <c r="M193" s="117" t="e">
        <f t="shared" si="59"/>
        <v>#VALUE!</v>
      </c>
      <c r="N193" s="47"/>
      <c r="O193" s="22"/>
      <c r="P193" s="18"/>
      <c r="Q193" s="27"/>
      <c r="R193" s="22"/>
      <c r="S193" s="27"/>
      <c r="T193" s="47"/>
    </row>
    <row r="194" spans="1:20" s="19" customFormat="1" ht="15.75" x14ac:dyDescent="0.2">
      <c r="A194" s="29"/>
      <c r="B194" s="29"/>
      <c r="C194" s="178" t="s">
        <v>87</v>
      </c>
      <c r="D194" s="32" t="s">
        <v>455</v>
      </c>
      <c r="E194" s="30"/>
      <c r="F194" s="30" t="s">
        <v>311</v>
      </c>
      <c r="G194" s="31" t="e">
        <f>K8+30</f>
        <v>#VALUE!</v>
      </c>
      <c r="H194" s="116" t="e">
        <f t="shared" ref="H194" si="61">G194+J194</f>
        <v>#VALUE!</v>
      </c>
      <c r="I194" s="31"/>
      <c r="J194" s="118">
        <v>2</v>
      </c>
      <c r="K194" s="117" t="e">
        <f t="shared" ref="K194" si="62">IF(H194=0,"",IF(H194&lt;=$K$7, "X", ""))</f>
        <v>#VALUE!</v>
      </c>
      <c r="L194" s="117" t="e">
        <f t="shared" ref="L194" si="63">IF(H194&lt;$K$7, "",IF(H194&lt;=$L$7,"X", ""))</f>
        <v>#VALUE!</v>
      </c>
      <c r="M194" s="117" t="e">
        <f t="shared" ref="M194" si="64">IF(H194&lt;$L$7, "",IF(H194&gt;$L$7,"X", ""))</f>
        <v>#VALUE!</v>
      </c>
      <c r="N194" s="47"/>
      <c r="O194" s="22"/>
      <c r="P194" s="18"/>
      <c r="Q194" s="27"/>
      <c r="R194" s="22"/>
      <c r="S194" s="27"/>
      <c r="T194" s="47"/>
    </row>
    <row r="195" spans="1:20" s="19" customFormat="1" ht="15.75" x14ac:dyDescent="0.2">
      <c r="A195" s="29"/>
      <c r="B195" s="29"/>
      <c r="C195" s="178" t="s">
        <v>87</v>
      </c>
      <c r="D195" s="32" t="s">
        <v>454</v>
      </c>
      <c r="E195" s="30"/>
      <c r="F195" s="30" t="s">
        <v>311</v>
      </c>
      <c r="G195" s="31">
        <f>K9+30</f>
        <v>30</v>
      </c>
      <c r="H195" s="116">
        <f t="shared" si="60"/>
        <v>32</v>
      </c>
      <c r="I195" s="31"/>
      <c r="J195" s="118">
        <v>2</v>
      </c>
      <c r="K195" s="117" t="str">
        <f t="shared" si="57"/>
        <v>X</v>
      </c>
      <c r="L195" s="117" t="str">
        <f t="shared" si="58"/>
        <v/>
      </c>
      <c r="M195" s="117" t="str">
        <f t="shared" si="59"/>
        <v/>
      </c>
      <c r="N195" s="47"/>
      <c r="O195" s="22"/>
      <c r="P195" s="18"/>
      <c r="Q195" s="27"/>
      <c r="R195" s="22"/>
      <c r="S195" s="27"/>
      <c r="T195" s="47"/>
    </row>
    <row r="196" spans="1:20" s="19" customFormat="1" ht="15.75" x14ac:dyDescent="0.2">
      <c r="A196" s="112"/>
      <c r="B196" s="93"/>
      <c r="C196" s="93" t="s">
        <v>87</v>
      </c>
      <c r="D196" s="94" t="s">
        <v>436</v>
      </c>
      <c r="E196" s="95"/>
      <c r="F196" s="95" t="s">
        <v>314</v>
      </c>
      <c r="G196" s="96">
        <f>K7+90</f>
        <v>41243</v>
      </c>
      <c r="H196" s="96">
        <f>G196+J196</f>
        <v>41273</v>
      </c>
      <c r="I196" s="97"/>
      <c r="J196" s="98">
        <v>30</v>
      </c>
      <c r="K196" s="99" t="str">
        <f t="shared" si="33"/>
        <v/>
      </c>
      <c r="L196" s="99" t="str">
        <f t="shared" si="34"/>
        <v/>
      </c>
      <c r="M196" s="99" t="str">
        <f t="shared" si="35"/>
        <v>X</v>
      </c>
      <c r="N196" s="95"/>
      <c r="O196" s="100"/>
      <c r="P196" s="103"/>
      <c r="Q196" s="101"/>
      <c r="R196" s="101"/>
      <c r="S196" s="102"/>
      <c r="T196" s="95"/>
    </row>
    <row r="197" spans="1:20" s="19" customFormat="1" ht="15.75" x14ac:dyDescent="0.2">
      <c r="A197" s="29"/>
      <c r="B197" s="29"/>
      <c r="C197" s="27" t="s">
        <v>87</v>
      </c>
      <c r="D197" s="32" t="s">
        <v>182</v>
      </c>
      <c r="E197" s="30"/>
      <c r="F197" s="30" t="s">
        <v>311</v>
      </c>
      <c r="G197" s="31">
        <f>K7+30</f>
        <v>41183</v>
      </c>
      <c r="H197" s="116">
        <f t="shared" ref="H197:H204" si="65">G197+J197</f>
        <v>41185</v>
      </c>
      <c r="I197" s="31"/>
      <c r="J197" s="118">
        <v>2</v>
      </c>
      <c r="K197" s="117" t="str">
        <f t="shared" si="33"/>
        <v/>
      </c>
      <c r="L197" s="117" t="str">
        <f t="shared" si="34"/>
        <v>X</v>
      </c>
      <c r="M197" s="117" t="str">
        <f t="shared" si="35"/>
        <v/>
      </c>
      <c r="N197" s="47"/>
      <c r="O197" s="22"/>
      <c r="P197" s="18"/>
      <c r="Q197" s="27"/>
      <c r="R197" s="22"/>
      <c r="S197" s="27"/>
      <c r="T197" s="47"/>
    </row>
    <row r="198" spans="1:20" s="19" customFormat="1" ht="15.75" x14ac:dyDescent="0.2">
      <c r="A198" s="29"/>
      <c r="B198" s="29"/>
      <c r="C198" s="27" t="s">
        <v>87</v>
      </c>
      <c r="D198" s="32" t="s">
        <v>173</v>
      </c>
      <c r="E198" s="30"/>
      <c r="F198" s="30" t="s">
        <v>313</v>
      </c>
      <c r="G198" s="31">
        <f>K7+60</f>
        <v>41213</v>
      </c>
      <c r="H198" s="116">
        <f t="shared" si="65"/>
        <v>41223</v>
      </c>
      <c r="I198" s="31"/>
      <c r="J198" s="118">
        <v>10</v>
      </c>
      <c r="K198" s="117" t="str">
        <f t="shared" si="33"/>
        <v/>
      </c>
      <c r="L198" s="117" t="str">
        <f t="shared" si="34"/>
        <v>X</v>
      </c>
      <c r="M198" s="117" t="str">
        <f t="shared" si="35"/>
        <v/>
      </c>
      <c r="N198" s="47"/>
      <c r="O198" s="22"/>
      <c r="P198" s="18"/>
      <c r="Q198" s="27"/>
      <c r="R198" s="22"/>
      <c r="S198" s="27"/>
      <c r="T198" s="47"/>
    </row>
    <row r="199" spans="1:20" s="19" customFormat="1" ht="15.75" x14ac:dyDescent="0.2">
      <c r="A199" s="29"/>
      <c r="B199" s="29"/>
      <c r="C199" s="27" t="s">
        <v>87</v>
      </c>
      <c r="D199" s="32" t="s">
        <v>174</v>
      </c>
      <c r="E199" s="30"/>
      <c r="F199" s="30" t="s">
        <v>313</v>
      </c>
      <c r="G199" s="31">
        <f>K7+60</f>
        <v>41213</v>
      </c>
      <c r="H199" s="116">
        <f t="shared" si="65"/>
        <v>41218</v>
      </c>
      <c r="I199" s="31"/>
      <c r="J199" s="118">
        <v>5</v>
      </c>
      <c r="K199" s="117" t="str">
        <f t="shared" si="33"/>
        <v/>
      </c>
      <c r="L199" s="117" t="str">
        <f t="shared" si="34"/>
        <v>X</v>
      </c>
      <c r="M199" s="117" t="str">
        <f t="shared" si="35"/>
        <v/>
      </c>
      <c r="N199" s="47"/>
      <c r="O199" s="22"/>
      <c r="P199" s="18"/>
      <c r="Q199" s="27"/>
      <c r="R199" s="22"/>
      <c r="S199" s="27"/>
      <c r="T199" s="47"/>
    </row>
    <row r="200" spans="1:20" s="19" customFormat="1" ht="15.75" x14ac:dyDescent="0.2">
      <c r="A200" s="29"/>
      <c r="B200" s="29"/>
      <c r="C200" s="27" t="s">
        <v>87</v>
      </c>
      <c r="D200" s="32" t="s">
        <v>183</v>
      </c>
      <c r="E200" s="30"/>
      <c r="F200" s="30" t="s">
        <v>313</v>
      </c>
      <c r="G200" s="31">
        <f>K7+60</f>
        <v>41213</v>
      </c>
      <c r="H200" s="116">
        <f t="shared" si="65"/>
        <v>41243</v>
      </c>
      <c r="I200" s="31"/>
      <c r="J200" s="118">
        <v>30</v>
      </c>
      <c r="K200" s="117" t="str">
        <f t="shared" si="33"/>
        <v/>
      </c>
      <c r="L200" s="117" t="str">
        <f t="shared" si="34"/>
        <v>X</v>
      </c>
      <c r="M200" s="117" t="str">
        <f t="shared" si="35"/>
        <v/>
      </c>
      <c r="N200" s="47"/>
      <c r="O200" s="22"/>
      <c r="P200" s="18"/>
      <c r="Q200" s="27"/>
      <c r="R200" s="22"/>
      <c r="S200" s="27"/>
      <c r="T200" s="47"/>
    </row>
    <row r="201" spans="1:20" s="19" customFormat="1" ht="15.75" x14ac:dyDescent="0.2">
      <c r="A201" s="29"/>
      <c r="B201" s="29"/>
      <c r="C201" s="27" t="s">
        <v>87</v>
      </c>
      <c r="D201" s="32" t="s">
        <v>184</v>
      </c>
      <c r="E201" s="30"/>
      <c r="F201" s="30" t="s">
        <v>311</v>
      </c>
      <c r="G201" s="31">
        <f>K7+30</f>
        <v>41183</v>
      </c>
      <c r="H201" s="116">
        <f t="shared" si="65"/>
        <v>41188</v>
      </c>
      <c r="I201" s="31"/>
      <c r="J201" s="118">
        <v>5</v>
      </c>
      <c r="K201" s="117" t="str">
        <f t="shared" si="33"/>
        <v/>
      </c>
      <c r="L201" s="117" t="str">
        <f t="shared" si="34"/>
        <v>X</v>
      </c>
      <c r="M201" s="117" t="str">
        <f t="shared" si="35"/>
        <v/>
      </c>
      <c r="N201" s="47"/>
      <c r="O201" s="22"/>
      <c r="P201" s="18"/>
      <c r="Q201" s="27"/>
      <c r="R201" s="22"/>
      <c r="S201" s="27"/>
      <c r="T201" s="47"/>
    </row>
    <row r="202" spans="1:20" s="19" customFormat="1" ht="15.75" x14ac:dyDescent="0.2">
      <c r="A202" s="29"/>
      <c r="B202" s="29"/>
      <c r="C202" s="27" t="s">
        <v>87</v>
      </c>
      <c r="D202" s="32" t="s">
        <v>185</v>
      </c>
      <c r="E202" s="30"/>
      <c r="F202" s="30" t="s">
        <v>314</v>
      </c>
      <c r="G202" s="31">
        <f>K7+90</f>
        <v>41243</v>
      </c>
      <c r="H202" s="116">
        <f t="shared" si="65"/>
        <v>41253</v>
      </c>
      <c r="I202" s="31"/>
      <c r="J202" s="118">
        <v>10</v>
      </c>
      <c r="K202" s="117" t="str">
        <f t="shared" si="33"/>
        <v/>
      </c>
      <c r="L202" s="117" t="str">
        <f t="shared" si="34"/>
        <v/>
      </c>
      <c r="M202" s="117" t="str">
        <f t="shared" si="35"/>
        <v>X</v>
      </c>
      <c r="N202" s="47"/>
      <c r="O202" s="22"/>
      <c r="P202" s="18"/>
      <c r="Q202" s="27"/>
      <c r="R202" s="22"/>
      <c r="S202" s="27"/>
      <c r="T202" s="47"/>
    </row>
    <row r="203" spans="1:20" s="19" customFormat="1" ht="15.75" x14ac:dyDescent="0.2">
      <c r="A203" s="29"/>
      <c r="B203" s="29"/>
      <c r="C203" s="27" t="s">
        <v>87</v>
      </c>
      <c r="D203" s="32" t="s">
        <v>186</v>
      </c>
      <c r="E203" s="30"/>
      <c r="F203" s="30" t="s">
        <v>314</v>
      </c>
      <c r="G203" s="31">
        <f>K7+90</f>
        <v>41243</v>
      </c>
      <c r="H203" s="116">
        <f t="shared" si="65"/>
        <v>41248</v>
      </c>
      <c r="I203" s="31"/>
      <c r="J203" s="118">
        <v>5</v>
      </c>
      <c r="K203" s="117" t="str">
        <f t="shared" si="33"/>
        <v/>
      </c>
      <c r="L203" s="117" t="str">
        <f t="shared" si="34"/>
        <v/>
      </c>
      <c r="M203" s="117" t="str">
        <f t="shared" si="35"/>
        <v>X</v>
      </c>
      <c r="N203" s="47"/>
      <c r="O203" s="22"/>
      <c r="P203" s="18"/>
      <c r="Q203" s="27"/>
      <c r="R203" s="22"/>
      <c r="S203" s="27"/>
      <c r="T203" s="47"/>
    </row>
    <row r="204" spans="1:20" s="19" customFormat="1" ht="15.75" x14ac:dyDescent="0.2">
      <c r="A204" s="29"/>
      <c r="B204" s="29"/>
      <c r="C204" s="27" t="s">
        <v>87</v>
      </c>
      <c r="D204" s="32" t="s">
        <v>187</v>
      </c>
      <c r="E204" s="30"/>
      <c r="F204" s="30" t="s">
        <v>314</v>
      </c>
      <c r="G204" s="31">
        <f>K7+90</f>
        <v>41243</v>
      </c>
      <c r="H204" s="116">
        <f t="shared" si="65"/>
        <v>41253</v>
      </c>
      <c r="I204" s="31"/>
      <c r="J204" s="118">
        <v>10</v>
      </c>
      <c r="K204" s="117" t="str">
        <f t="shared" si="33"/>
        <v/>
      </c>
      <c r="L204" s="117" t="str">
        <f t="shared" si="34"/>
        <v/>
      </c>
      <c r="M204" s="117" t="str">
        <f t="shared" si="35"/>
        <v>X</v>
      </c>
      <c r="N204" s="47"/>
      <c r="O204" s="22"/>
      <c r="P204" s="18"/>
      <c r="Q204" s="27"/>
      <c r="R204" s="22"/>
      <c r="S204" s="27"/>
      <c r="T204" s="47"/>
    </row>
    <row r="205" spans="1:20" s="19" customFormat="1" ht="15.75" x14ac:dyDescent="0.2">
      <c r="A205" s="112"/>
      <c r="B205" s="93"/>
      <c r="C205" s="93" t="s">
        <v>87</v>
      </c>
      <c r="D205" s="94" t="s">
        <v>188</v>
      </c>
      <c r="E205" s="95"/>
      <c r="F205" s="95" t="s">
        <v>312</v>
      </c>
      <c r="G205" s="96">
        <f>K7</f>
        <v>41153</v>
      </c>
      <c r="H205" s="96">
        <f>G205+J205</f>
        <v>41156</v>
      </c>
      <c r="I205" s="97"/>
      <c r="J205" s="98">
        <v>3</v>
      </c>
      <c r="K205" s="99" t="str">
        <f t="shared" si="33"/>
        <v/>
      </c>
      <c r="L205" s="99" t="str">
        <f t="shared" si="34"/>
        <v>X</v>
      </c>
      <c r="M205" s="99" t="str">
        <f t="shared" si="35"/>
        <v/>
      </c>
      <c r="N205" s="95"/>
      <c r="O205" s="100"/>
      <c r="P205" s="103"/>
      <c r="Q205" s="101"/>
      <c r="R205" s="101"/>
      <c r="S205" s="102"/>
      <c r="T205" s="95"/>
    </row>
    <row r="206" spans="1:20" s="19" customFormat="1" ht="15.75" x14ac:dyDescent="0.2">
      <c r="A206" s="29"/>
      <c r="B206" s="29"/>
      <c r="C206" s="29" t="s">
        <v>87</v>
      </c>
      <c r="D206" s="32" t="s">
        <v>189</v>
      </c>
      <c r="E206" s="30"/>
      <c r="F206" s="30" t="s">
        <v>120</v>
      </c>
      <c r="G206" s="31">
        <f>K7</f>
        <v>41153</v>
      </c>
      <c r="H206" s="116">
        <f t="shared" ref="H206:H208" si="66">G206+J206</f>
        <v>41155</v>
      </c>
      <c r="I206" s="31"/>
      <c r="J206" s="118">
        <v>2</v>
      </c>
      <c r="K206" s="117" t="str">
        <f t="shared" si="33"/>
        <v/>
      </c>
      <c r="L206" s="117" t="str">
        <f t="shared" si="34"/>
        <v>X</v>
      </c>
      <c r="M206" s="117" t="str">
        <f t="shared" si="35"/>
        <v/>
      </c>
      <c r="N206" s="47"/>
      <c r="O206" s="22"/>
      <c r="P206" s="18"/>
      <c r="Q206" s="27"/>
      <c r="R206" s="22"/>
      <c r="S206" s="27"/>
      <c r="T206" s="47"/>
    </row>
    <row r="207" spans="1:20" s="19" customFormat="1" ht="15.75" x14ac:dyDescent="0.2">
      <c r="A207" s="29"/>
      <c r="B207" s="29"/>
      <c r="C207" s="29" t="s">
        <v>87</v>
      </c>
      <c r="D207" s="32" t="s">
        <v>190</v>
      </c>
      <c r="E207" s="30"/>
      <c r="F207" s="30" t="s">
        <v>120</v>
      </c>
      <c r="G207" s="31">
        <f>K7</f>
        <v>41153</v>
      </c>
      <c r="H207" s="116">
        <f t="shared" si="66"/>
        <v>41156</v>
      </c>
      <c r="I207" s="31"/>
      <c r="J207" s="118">
        <v>3</v>
      </c>
      <c r="K207" s="117" t="str">
        <f t="shared" si="33"/>
        <v/>
      </c>
      <c r="L207" s="117" t="str">
        <f t="shared" si="34"/>
        <v>X</v>
      </c>
      <c r="M207" s="117" t="str">
        <f t="shared" si="35"/>
        <v/>
      </c>
      <c r="N207" s="47"/>
      <c r="O207" s="22"/>
      <c r="P207" s="18"/>
      <c r="Q207" s="27"/>
      <c r="R207" s="22"/>
      <c r="S207" s="27"/>
      <c r="T207" s="47"/>
    </row>
    <row r="208" spans="1:20" s="19" customFormat="1" ht="15.75" x14ac:dyDescent="0.2">
      <c r="A208" s="29"/>
      <c r="B208" s="29"/>
      <c r="C208" s="29" t="s">
        <v>87</v>
      </c>
      <c r="D208" s="32" t="s">
        <v>191</v>
      </c>
      <c r="E208" s="30"/>
      <c r="F208" s="30" t="s">
        <v>120</v>
      </c>
      <c r="G208" s="31">
        <f>K7</f>
        <v>41153</v>
      </c>
      <c r="H208" s="116">
        <f t="shared" si="66"/>
        <v>41155</v>
      </c>
      <c r="I208" s="31"/>
      <c r="J208" s="118">
        <v>2</v>
      </c>
      <c r="K208" s="117" t="str">
        <f t="shared" si="33"/>
        <v/>
      </c>
      <c r="L208" s="117" t="str">
        <f t="shared" si="34"/>
        <v>X</v>
      </c>
      <c r="M208" s="117" t="str">
        <f t="shared" si="35"/>
        <v/>
      </c>
      <c r="N208" s="47"/>
      <c r="O208" s="22"/>
      <c r="P208" s="18"/>
      <c r="Q208" s="27"/>
      <c r="R208" s="22"/>
      <c r="S208" s="27"/>
      <c r="T208" s="47"/>
    </row>
    <row r="209" spans="1:20" s="19" customFormat="1" ht="15.75" x14ac:dyDescent="0.2">
      <c r="A209" s="112"/>
      <c r="B209" s="93"/>
      <c r="C209" s="93" t="s">
        <v>87</v>
      </c>
      <c r="D209" s="94" t="s">
        <v>435</v>
      </c>
      <c r="E209" s="95"/>
      <c r="F209" s="95" t="s">
        <v>311</v>
      </c>
      <c r="G209" s="96" t="e">
        <f>K6+30</f>
        <v>#VALUE!</v>
      </c>
      <c r="H209" s="96" t="e">
        <f>G209+J209</f>
        <v>#VALUE!</v>
      </c>
      <c r="I209" s="97"/>
      <c r="J209" s="98">
        <v>10</v>
      </c>
      <c r="K209" s="99" t="e">
        <f t="shared" ref="K209:K210" si="67">IF(H209=0,"",IF(H209&lt;=$K$7, "X", ""))</f>
        <v>#VALUE!</v>
      </c>
      <c r="L209" s="99" t="e">
        <f t="shared" ref="L209:L210" si="68">IF(H209&lt;$K$7, "",IF(H209&lt;=$L$7,"X", ""))</f>
        <v>#VALUE!</v>
      </c>
      <c r="M209" s="99" t="e">
        <f t="shared" ref="M209:M210" si="69">IF(H209&lt;$L$7, "",IF(H209&gt;$L$7,"X", ""))</f>
        <v>#VALUE!</v>
      </c>
      <c r="N209" s="95"/>
      <c r="O209" s="100"/>
      <c r="P209" s="103"/>
      <c r="Q209" s="101"/>
      <c r="R209" s="101"/>
      <c r="S209" s="102"/>
      <c r="T209" s="95"/>
    </row>
    <row r="210" spans="1:20" s="103" customFormat="1" ht="15.75" x14ac:dyDescent="0.2">
      <c r="A210" s="180"/>
      <c r="B210" s="180"/>
      <c r="C210" s="180" t="s">
        <v>87</v>
      </c>
      <c r="D210" s="181" t="s">
        <v>298</v>
      </c>
      <c r="E210" s="182"/>
      <c r="F210" s="182" t="s">
        <v>313</v>
      </c>
      <c r="G210" s="116" t="e">
        <f>#REF!+60</f>
        <v>#REF!</v>
      </c>
      <c r="H210" s="116" t="e">
        <f t="shared" ref="H210" si="70">G210+J210</f>
        <v>#REF!</v>
      </c>
      <c r="I210" s="116"/>
      <c r="J210" s="183">
        <v>30</v>
      </c>
      <c r="K210" s="184" t="e">
        <f t="shared" si="67"/>
        <v>#REF!</v>
      </c>
      <c r="L210" s="184" t="e">
        <f t="shared" si="68"/>
        <v>#REF!</v>
      </c>
      <c r="M210" s="184" t="e">
        <f t="shared" si="69"/>
        <v>#REF!</v>
      </c>
      <c r="N210" s="185"/>
      <c r="O210" s="186"/>
      <c r="Q210" s="147"/>
      <c r="R210" s="186"/>
      <c r="S210" s="147"/>
      <c r="T210" s="185"/>
    </row>
    <row r="211" spans="1:20" s="19" customFormat="1" ht="15.75" x14ac:dyDescent="0.2">
      <c r="A211" s="112"/>
      <c r="B211" s="93"/>
      <c r="C211" s="93" t="s">
        <v>87</v>
      </c>
      <c r="D211" s="94" t="s">
        <v>215</v>
      </c>
      <c r="E211" s="95"/>
      <c r="F211" s="95" t="s">
        <v>311</v>
      </c>
      <c r="G211" s="96">
        <f>K7+30</f>
        <v>41183</v>
      </c>
      <c r="H211" s="96">
        <f>G211+J211</f>
        <v>41193</v>
      </c>
      <c r="I211" s="97"/>
      <c r="J211" s="98">
        <v>10</v>
      </c>
      <c r="K211" s="99" t="str">
        <f t="shared" si="33"/>
        <v/>
      </c>
      <c r="L211" s="99" t="str">
        <f t="shared" si="34"/>
        <v>X</v>
      </c>
      <c r="M211" s="99" t="str">
        <f t="shared" si="35"/>
        <v/>
      </c>
      <c r="N211" s="95"/>
      <c r="O211" s="100"/>
      <c r="P211" s="103"/>
      <c r="Q211" s="101"/>
      <c r="R211" s="101"/>
      <c r="S211" s="102"/>
      <c r="T211" s="95"/>
    </row>
    <row r="212" spans="1:20" s="19" customFormat="1" ht="30" x14ac:dyDescent="0.2">
      <c r="A212" s="29"/>
      <c r="B212" s="29"/>
      <c r="C212" s="29" t="s">
        <v>87</v>
      </c>
      <c r="D212" s="32" t="s">
        <v>216</v>
      </c>
      <c r="E212" s="30"/>
      <c r="F212" s="30" t="s">
        <v>311</v>
      </c>
      <c r="G212" s="31">
        <f>K7+30</f>
        <v>41183</v>
      </c>
      <c r="H212" s="116">
        <f t="shared" ref="H212:H215" si="71">G212+J212</f>
        <v>41184</v>
      </c>
      <c r="I212" s="31"/>
      <c r="J212" s="118">
        <v>1</v>
      </c>
      <c r="K212" s="117" t="str">
        <f t="shared" si="33"/>
        <v/>
      </c>
      <c r="L212" s="117" t="str">
        <f t="shared" si="34"/>
        <v>X</v>
      </c>
      <c r="M212" s="117" t="str">
        <f t="shared" si="35"/>
        <v/>
      </c>
      <c r="N212" s="47"/>
      <c r="O212" s="22"/>
      <c r="P212" s="18"/>
      <c r="Q212" s="27"/>
      <c r="R212" s="22"/>
      <c r="S212" s="27"/>
      <c r="T212" s="47"/>
    </row>
    <row r="213" spans="1:20" s="19" customFormat="1" ht="15.75" x14ac:dyDescent="0.2">
      <c r="A213" s="29"/>
      <c r="B213" s="29"/>
      <c r="C213" s="29" t="s">
        <v>87</v>
      </c>
      <c r="D213" s="32" t="s">
        <v>217</v>
      </c>
      <c r="E213" s="30"/>
      <c r="F213" s="30" t="s">
        <v>311</v>
      </c>
      <c r="G213" s="31">
        <f>K7+30</f>
        <v>41183</v>
      </c>
      <c r="H213" s="116">
        <f t="shared" si="71"/>
        <v>41193</v>
      </c>
      <c r="I213" s="31"/>
      <c r="J213" s="118">
        <v>10</v>
      </c>
      <c r="K213" s="117" t="str">
        <f t="shared" si="33"/>
        <v/>
      </c>
      <c r="L213" s="117" t="str">
        <f t="shared" si="34"/>
        <v>X</v>
      </c>
      <c r="M213" s="117" t="str">
        <f t="shared" si="35"/>
        <v/>
      </c>
      <c r="N213" s="47"/>
      <c r="O213" s="22"/>
      <c r="P213" s="18"/>
      <c r="Q213" s="27"/>
      <c r="R213" s="22"/>
      <c r="S213" s="27"/>
      <c r="T213" s="47"/>
    </row>
    <row r="214" spans="1:20" s="19" customFormat="1" ht="15.75" x14ac:dyDescent="0.2">
      <c r="A214" s="29"/>
      <c r="B214" s="29"/>
      <c r="C214" s="29" t="s">
        <v>87</v>
      </c>
      <c r="D214" s="32" t="s">
        <v>218</v>
      </c>
      <c r="E214" s="30"/>
      <c r="F214" s="30" t="s">
        <v>311</v>
      </c>
      <c r="G214" s="31">
        <f>K7+30</f>
        <v>41183</v>
      </c>
      <c r="H214" s="116">
        <f t="shared" si="71"/>
        <v>41193</v>
      </c>
      <c r="I214" s="31"/>
      <c r="J214" s="118">
        <v>10</v>
      </c>
      <c r="K214" s="117" t="str">
        <f t="shared" si="33"/>
        <v/>
      </c>
      <c r="L214" s="117" t="str">
        <f t="shared" si="34"/>
        <v>X</v>
      </c>
      <c r="M214" s="117" t="str">
        <f t="shared" si="35"/>
        <v/>
      </c>
      <c r="N214" s="47"/>
      <c r="O214" s="22"/>
      <c r="P214" s="18"/>
      <c r="Q214" s="27"/>
      <c r="R214" s="22"/>
      <c r="S214" s="27"/>
      <c r="T214" s="47"/>
    </row>
    <row r="215" spans="1:20" s="19" customFormat="1" ht="15.75" x14ac:dyDescent="0.2">
      <c r="A215" s="29"/>
      <c r="B215" s="29"/>
      <c r="C215" s="29" t="s">
        <v>87</v>
      </c>
      <c r="D215" s="32" t="s">
        <v>219</v>
      </c>
      <c r="E215" s="30"/>
      <c r="F215" s="30" t="s">
        <v>311</v>
      </c>
      <c r="G215" s="31">
        <f>K7+30</f>
        <v>41183</v>
      </c>
      <c r="H215" s="116">
        <f t="shared" si="71"/>
        <v>41193</v>
      </c>
      <c r="I215" s="31"/>
      <c r="J215" s="118">
        <v>10</v>
      </c>
      <c r="K215" s="117" t="str">
        <f t="shared" si="33"/>
        <v/>
      </c>
      <c r="L215" s="117" t="str">
        <f t="shared" si="34"/>
        <v>X</v>
      </c>
      <c r="M215" s="117" t="str">
        <f t="shared" si="35"/>
        <v/>
      </c>
      <c r="N215" s="47"/>
      <c r="O215" s="22"/>
      <c r="P215" s="18"/>
      <c r="Q215" s="27"/>
      <c r="R215" s="22"/>
      <c r="S215" s="27"/>
      <c r="T215" s="47"/>
    </row>
    <row r="216" spans="1:20" s="19" customFormat="1" ht="15.75" x14ac:dyDescent="0.2">
      <c r="A216" s="112"/>
      <c r="B216" s="93"/>
      <c r="C216" s="93" t="s">
        <v>87</v>
      </c>
      <c r="D216" s="94" t="s">
        <v>437</v>
      </c>
      <c r="E216" s="95"/>
      <c r="F216" s="95" t="s">
        <v>312</v>
      </c>
      <c r="G216" s="96">
        <f>K7</f>
        <v>41153</v>
      </c>
      <c r="H216" s="96">
        <f>G216+J216</f>
        <v>41183</v>
      </c>
      <c r="I216" s="97"/>
      <c r="J216" s="98">
        <v>30</v>
      </c>
      <c r="K216" s="99" t="str">
        <f t="shared" si="33"/>
        <v/>
      </c>
      <c r="L216" s="99" t="str">
        <f t="shared" si="34"/>
        <v>X</v>
      </c>
      <c r="M216" s="99" t="str">
        <f t="shared" si="35"/>
        <v/>
      </c>
      <c r="N216" s="95"/>
      <c r="O216" s="100"/>
      <c r="P216" s="103"/>
      <c r="Q216" s="101"/>
      <c r="R216" s="101"/>
      <c r="S216" s="102"/>
      <c r="T216" s="95"/>
    </row>
    <row r="217" spans="1:20" s="19" customFormat="1" ht="30" x14ac:dyDescent="0.2">
      <c r="A217" s="29"/>
      <c r="B217" s="29"/>
      <c r="C217" s="29" t="s">
        <v>87</v>
      </c>
      <c r="D217" s="32" t="s">
        <v>221</v>
      </c>
      <c r="E217" s="30"/>
      <c r="F217" s="30" t="s">
        <v>120</v>
      </c>
      <c r="G217" s="31">
        <f>K7</f>
        <v>41153</v>
      </c>
      <c r="H217" s="116">
        <f t="shared" ref="H217:H223" si="72">G217+J217</f>
        <v>41158</v>
      </c>
      <c r="I217" s="31"/>
      <c r="J217" s="118">
        <v>5</v>
      </c>
      <c r="K217" s="117" t="str">
        <f t="shared" si="33"/>
        <v/>
      </c>
      <c r="L217" s="117" t="str">
        <f t="shared" si="34"/>
        <v>X</v>
      </c>
      <c r="M217" s="117" t="str">
        <f t="shared" si="35"/>
        <v/>
      </c>
      <c r="N217" s="47"/>
      <c r="O217" s="22"/>
      <c r="P217" s="18"/>
      <c r="Q217" s="27"/>
      <c r="R217" s="22"/>
      <c r="S217" s="27"/>
      <c r="T217" s="47"/>
    </row>
    <row r="218" spans="1:20" s="19" customFormat="1" ht="15.75" x14ac:dyDescent="0.2">
      <c r="A218" s="29"/>
      <c r="B218" s="29"/>
      <c r="C218" s="29" t="s">
        <v>87</v>
      </c>
      <c r="D218" s="32" t="s">
        <v>222</v>
      </c>
      <c r="E218" s="30"/>
      <c r="F218" s="30" t="s">
        <v>120</v>
      </c>
      <c r="G218" s="31">
        <f>K7</f>
        <v>41153</v>
      </c>
      <c r="H218" s="116">
        <f t="shared" si="72"/>
        <v>41158</v>
      </c>
      <c r="I218" s="31"/>
      <c r="J218" s="118">
        <v>5</v>
      </c>
      <c r="K218" s="117" t="str">
        <f t="shared" si="33"/>
        <v/>
      </c>
      <c r="L218" s="117" t="str">
        <f t="shared" si="34"/>
        <v>X</v>
      </c>
      <c r="M218" s="117" t="str">
        <f t="shared" si="35"/>
        <v/>
      </c>
      <c r="N218" s="47"/>
      <c r="O218" s="22"/>
      <c r="P218" s="18"/>
      <c r="Q218" s="27"/>
      <c r="R218" s="22"/>
      <c r="S218" s="27"/>
      <c r="T218" s="47"/>
    </row>
    <row r="219" spans="1:20" s="19" customFormat="1" ht="15.75" x14ac:dyDescent="0.2">
      <c r="A219" s="29"/>
      <c r="B219" s="29"/>
      <c r="C219" s="29" t="s">
        <v>87</v>
      </c>
      <c r="D219" s="32" t="s">
        <v>223</v>
      </c>
      <c r="E219" s="30"/>
      <c r="F219" s="30" t="s">
        <v>120</v>
      </c>
      <c r="G219" s="31">
        <f>K7</f>
        <v>41153</v>
      </c>
      <c r="H219" s="116">
        <f t="shared" si="72"/>
        <v>41156</v>
      </c>
      <c r="I219" s="31"/>
      <c r="J219" s="118">
        <v>3</v>
      </c>
      <c r="K219" s="117" t="str">
        <f t="shared" si="33"/>
        <v/>
      </c>
      <c r="L219" s="117" t="str">
        <f t="shared" si="34"/>
        <v>X</v>
      </c>
      <c r="M219" s="117" t="str">
        <f t="shared" si="35"/>
        <v/>
      </c>
      <c r="N219" s="47"/>
      <c r="O219" s="22"/>
      <c r="P219" s="18"/>
      <c r="Q219" s="27"/>
      <c r="R219" s="22"/>
      <c r="S219" s="27"/>
      <c r="T219" s="47"/>
    </row>
    <row r="220" spans="1:20" s="19" customFormat="1" ht="15.75" x14ac:dyDescent="0.2">
      <c r="A220" s="29"/>
      <c r="B220" s="29"/>
      <c r="C220" s="29" t="s">
        <v>87</v>
      </c>
      <c r="D220" s="32" t="s">
        <v>224</v>
      </c>
      <c r="E220" s="30"/>
      <c r="F220" s="30" t="s">
        <v>121</v>
      </c>
      <c r="G220" s="31">
        <f>K7+91</f>
        <v>41244</v>
      </c>
      <c r="H220" s="116">
        <f t="shared" si="72"/>
        <v>41249</v>
      </c>
      <c r="I220" s="31"/>
      <c r="J220" s="118">
        <v>5</v>
      </c>
      <c r="K220" s="117" t="str">
        <f t="shared" si="33"/>
        <v/>
      </c>
      <c r="L220" s="117" t="str">
        <f t="shared" si="34"/>
        <v/>
      </c>
      <c r="M220" s="117" t="str">
        <f t="shared" si="35"/>
        <v>X</v>
      </c>
      <c r="N220" s="47"/>
      <c r="O220" s="22"/>
      <c r="P220" s="18"/>
      <c r="Q220" s="27"/>
      <c r="R220" s="22"/>
      <c r="S220" s="27"/>
      <c r="T220" s="47"/>
    </row>
    <row r="221" spans="1:20" s="19" customFormat="1" ht="15.75" x14ac:dyDescent="0.2">
      <c r="A221" s="29"/>
      <c r="B221" s="29"/>
      <c r="C221" s="29" t="s">
        <v>87</v>
      </c>
      <c r="D221" s="32" t="s">
        <v>225</v>
      </c>
      <c r="E221" s="30"/>
      <c r="F221" s="30" t="s">
        <v>121</v>
      </c>
      <c r="G221" s="31">
        <f>K7+91</f>
        <v>41244</v>
      </c>
      <c r="H221" s="116">
        <f t="shared" si="72"/>
        <v>41274</v>
      </c>
      <c r="I221" s="31"/>
      <c r="J221" s="118">
        <v>30</v>
      </c>
      <c r="K221" s="117" t="str">
        <f t="shared" ref="K221:K326" si="73">IF(H221=0,"",IF(H221&lt;=$K$7, "X", ""))</f>
        <v/>
      </c>
      <c r="L221" s="117" t="str">
        <f t="shared" ref="L221:L326" si="74">IF(H221&lt;$K$7, "",IF(H221&lt;=$L$7,"X", ""))</f>
        <v/>
      </c>
      <c r="M221" s="117" t="str">
        <f t="shared" ref="M221:M326" si="75">IF(H221&lt;$L$7, "",IF(H221&gt;$L$7,"X", ""))</f>
        <v>X</v>
      </c>
      <c r="N221" s="47"/>
      <c r="O221" s="22"/>
      <c r="P221" s="18"/>
      <c r="Q221" s="27"/>
      <c r="R221" s="22"/>
      <c r="S221" s="27"/>
      <c r="T221" s="47"/>
    </row>
    <row r="222" spans="1:20" s="19" customFormat="1" ht="15.75" x14ac:dyDescent="0.2">
      <c r="A222" s="29"/>
      <c r="B222" s="29"/>
      <c r="C222" s="29" t="s">
        <v>87</v>
      </c>
      <c r="D222" s="32" t="s">
        <v>226</v>
      </c>
      <c r="E222" s="30"/>
      <c r="F222" s="30" t="s">
        <v>121</v>
      </c>
      <c r="G222" s="31">
        <f>K7+91</f>
        <v>41244</v>
      </c>
      <c r="H222" s="116">
        <f t="shared" si="72"/>
        <v>41259</v>
      </c>
      <c r="I222" s="31"/>
      <c r="J222" s="118">
        <v>15</v>
      </c>
      <c r="K222" s="117" t="str">
        <f t="shared" si="73"/>
        <v/>
      </c>
      <c r="L222" s="117" t="str">
        <f t="shared" si="74"/>
        <v/>
      </c>
      <c r="M222" s="117" t="str">
        <f t="shared" si="75"/>
        <v>X</v>
      </c>
      <c r="N222" s="47"/>
      <c r="O222" s="22"/>
      <c r="P222" s="18"/>
      <c r="Q222" s="27"/>
      <c r="R222" s="22"/>
      <c r="S222" s="27"/>
      <c r="T222" s="47"/>
    </row>
    <row r="223" spans="1:20" s="19" customFormat="1" ht="15.75" x14ac:dyDescent="0.2">
      <c r="A223" s="29"/>
      <c r="B223" s="29"/>
      <c r="C223" s="29" t="s">
        <v>87</v>
      </c>
      <c r="D223" s="32" t="s">
        <v>227</v>
      </c>
      <c r="E223" s="30"/>
      <c r="F223" s="30" t="s">
        <v>121</v>
      </c>
      <c r="G223" s="31">
        <f>K7+91</f>
        <v>41244</v>
      </c>
      <c r="H223" s="116">
        <f t="shared" si="72"/>
        <v>41259</v>
      </c>
      <c r="I223" s="31"/>
      <c r="J223" s="118">
        <v>15</v>
      </c>
      <c r="K223" s="117" t="str">
        <f t="shared" si="73"/>
        <v/>
      </c>
      <c r="L223" s="117" t="str">
        <f t="shared" si="74"/>
        <v/>
      </c>
      <c r="M223" s="117" t="str">
        <f t="shared" si="75"/>
        <v>X</v>
      </c>
      <c r="N223" s="47"/>
      <c r="O223" s="22"/>
      <c r="P223" s="18"/>
      <c r="Q223" s="27"/>
      <c r="R223" s="22"/>
      <c r="S223" s="27"/>
      <c r="T223" s="47"/>
    </row>
    <row r="224" spans="1:20" s="19" customFormat="1" ht="15.75" x14ac:dyDescent="0.2">
      <c r="A224" s="112"/>
      <c r="B224" s="93"/>
      <c r="C224" s="93" t="s">
        <v>87</v>
      </c>
      <c r="D224" s="94" t="s">
        <v>439</v>
      </c>
      <c r="E224" s="95"/>
      <c r="F224" s="95" t="s">
        <v>121</v>
      </c>
      <c r="G224" s="96">
        <f>K4+91</f>
        <v>91</v>
      </c>
      <c r="H224" s="96">
        <f>G224+J224</f>
        <v>121</v>
      </c>
      <c r="I224" s="97"/>
      <c r="J224" s="98">
        <v>30</v>
      </c>
      <c r="K224" s="99" t="str">
        <f t="shared" ref="K224" si="76">IF(H224=0,"",IF(H224&lt;=$K$7, "X", ""))</f>
        <v>X</v>
      </c>
      <c r="L224" s="99" t="str">
        <f t="shared" ref="L224" si="77">IF(H224&lt;$K$7, "",IF(H224&lt;=$L$7,"X", ""))</f>
        <v/>
      </c>
      <c r="M224" s="99" t="str">
        <f t="shared" ref="M224" si="78">IF(H224&lt;$L$7, "",IF(H224&gt;$L$7,"X", ""))</f>
        <v/>
      </c>
      <c r="N224" s="95"/>
      <c r="O224" s="100"/>
      <c r="P224" s="103"/>
      <c r="Q224" s="101"/>
      <c r="R224" s="101"/>
      <c r="S224" s="102"/>
      <c r="T224" s="95"/>
    </row>
    <row r="225" spans="1:20" s="19" customFormat="1" ht="15.75" x14ac:dyDescent="0.2">
      <c r="A225" s="112"/>
      <c r="B225" s="93"/>
      <c r="C225" s="93" t="s">
        <v>87</v>
      </c>
      <c r="D225" s="94" t="s">
        <v>440</v>
      </c>
      <c r="E225" s="95"/>
      <c r="F225" s="95" t="s">
        <v>121</v>
      </c>
      <c r="G225" s="96">
        <f>K5+91</f>
        <v>91</v>
      </c>
      <c r="H225" s="96">
        <f>G225+J225</f>
        <v>121</v>
      </c>
      <c r="I225" s="97"/>
      <c r="J225" s="98">
        <v>30</v>
      </c>
      <c r="K225" s="99" t="str">
        <f t="shared" si="73"/>
        <v>X</v>
      </c>
      <c r="L225" s="99" t="str">
        <f t="shared" si="74"/>
        <v/>
      </c>
      <c r="M225" s="99" t="str">
        <f t="shared" si="75"/>
        <v/>
      </c>
      <c r="N225" s="95"/>
      <c r="O225" s="100"/>
      <c r="P225" s="103"/>
      <c r="Q225" s="101"/>
      <c r="R225" s="101"/>
      <c r="S225" s="102"/>
      <c r="T225" s="95"/>
    </row>
    <row r="226" spans="1:20" s="19" customFormat="1" ht="15.75" x14ac:dyDescent="0.2">
      <c r="A226" s="112"/>
      <c r="B226" s="93"/>
      <c r="C226" s="93" t="s">
        <v>87</v>
      </c>
      <c r="D226" s="94" t="s">
        <v>441</v>
      </c>
      <c r="E226" s="95"/>
      <c r="F226" s="95" t="s">
        <v>121</v>
      </c>
      <c r="G226" s="96" t="e">
        <f>K6+91</f>
        <v>#VALUE!</v>
      </c>
      <c r="H226" s="96" t="e">
        <f>G226+J226</f>
        <v>#VALUE!</v>
      </c>
      <c r="I226" s="97"/>
      <c r="J226" s="98">
        <v>30</v>
      </c>
      <c r="K226" s="99" t="e">
        <f t="shared" ref="K226" si="79">IF(H226=0,"",IF(H226&lt;=$K$7, "X", ""))</f>
        <v>#VALUE!</v>
      </c>
      <c r="L226" s="99" t="e">
        <f t="shared" ref="L226" si="80">IF(H226&lt;$K$7, "",IF(H226&lt;=$L$7,"X", ""))</f>
        <v>#VALUE!</v>
      </c>
      <c r="M226" s="99" t="e">
        <f t="shared" ref="M226" si="81">IF(H226&lt;$L$7, "",IF(H226&gt;$L$7,"X", ""))</f>
        <v>#VALUE!</v>
      </c>
      <c r="N226" s="95"/>
      <c r="O226" s="100"/>
      <c r="P226" s="103"/>
      <c r="Q226" s="101"/>
      <c r="R226" s="101"/>
      <c r="S226" s="102"/>
      <c r="T226" s="95"/>
    </row>
    <row r="227" spans="1:20" s="19" customFormat="1" ht="15.75" x14ac:dyDescent="0.2">
      <c r="A227" s="112"/>
      <c r="B227" s="93"/>
      <c r="C227" s="93" t="s">
        <v>87</v>
      </c>
      <c r="D227" s="94" t="s">
        <v>228</v>
      </c>
      <c r="E227" s="95"/>
      <c r="F227" s="95" t="s">
        <v>121</v>
      </c>
      <c r="G227" s="96">
        <f>K7+91</f>
        <v>41244</v>
      </c>
      <c r="H227" s="96">
        <f>G227+J227</f>
        <v>41274</v>
      </c>
      <c r="I227" s="97"/>
      <c r="J227" s="98">
        <v>30</v>
      </c>
      <c r="K227" s="99" t="str">
        <f t="shared" si="73"/>
        <v/>
      </c>
      <c r="L227" s="99" t="str">
        <f t="shared" si="74"/>
        <v/>
      </c>
      <c r="M227" s="99" t="str">
        <f t="shared" si="75"/>
        <v>X</v>
      </c>
      <c r="N227" s="95"/>
      <c r="O227" s="100"/>
      <c r="P227" s="103"/>
      <c r="Q227" s="101"/>
      <c r="R227" s="101"/>
      <c r="S227" s="102"/>
      <c r="T227" s="95"/>
    </row>
    <row r="228" spans="1:20" s="19" customFormat="1" ht="15.75" x14ac:dyDescent="0.2">
      <c r="A228" s="29"/>
      <c r="B228" s="29"/>
      <c r="C228" s="29" t="s">
        <v>87</v>
      </c>
      <c r="D228" s="32" t="s">
        <v>229</v>
      </c>
      <c r="E228" s="30"/>
      <c r="F228" s="30" t="s">
        <v>311</v>
      </c>
      <c r="G228" s="31">
        <f>K7+30</f>
        <v>41183</v>
      </c>
      <c r="H228" s="116">
        <f t="shared" ref="H228:H237" si="82">G228+J228</f>
        <v>41188</v>
      </c>
      <c r="I228" s="31"/>
      <c r="J228" s="118">
        <v>5</v>
      </c>
      <c r="K228" s="117" t="str">
        <f t="shared" si="73"/>
        <v/>
      </c>
      <c r="L228" s="117" t="str">
        <f t="shared" si="74"/>
        <v>X</v>
      </c>
      <c r="M228" s="117" t="str">
        <f t="shared" si="75"/>
        <v/>
      </c>
      <c r="N228" s="47"/>
      <c r="O228" s="22"/>
      <c r="P228" s="18"/>
      <c r="Q228" s="27"/>
      <c r="R228" s="22"/>
      <c r="S228" s="27"/>
      <c r="T228" s="47"/>
    </row>
    <row r="229" spans="1:20" s="19" customFormat="1" ht="15.75" x14ac:dyDescent="0.2">
      <c r="A229" s="29"/>
      <c r="B229" s="29"/>
      <c r="C229" s="29" t="s">
        <v>87</v>
      </c>
      <c r="D229" s="32" t="s">
        <v>230</v>
      </c>
      <c r="E229" s="30"/>
      <c r="F229" s="30" t="s">
        <v>311</v>
      </c>
      <c r="G229" s="31">
        <f>K7+30</f>
        <v>41183</v>
      </c>
      <c r="H229" s="116">
        <f t="shared" si="82"/>
        <v>41213</v>
      </c>
      <c r="I229" s="31"/>
      <c r="J229" s="118">
        <v>30</v>
      </c>
      <c r="K229" s="117" t="str">
        <f t="shared" si="73"/>
        <v/>
      </c>
      <c r="L229" s="117" t="str">
        <f t="shared" si="74"/>
        <v>X</v>
      </c>
      <c r="M229" s="117" t="str">
        <f t="shared" si="75"/>
        <v/>
      </c>
      <c r="N229" s="47"/>
      <c r="O229" s="22"/>
      <c r="P229" s="18"/>
      <c r="Q229" s="27"/>
      <c r="R229" s="22"/>
      <c r="S229" s="27"/>
      <c r="T229" s="47"/>
    </row>
    <row r="230" spans="1:20" s="19" customFormat="1" ht="30" x14ac:dyDescent="0.2">
      <c r="A230" s="29"/>
      <c r="B230" s="29"/>
      <c r="C230" s="29" t="s">
        <v>87</v>
      </c>
      <c r="D230" s="32" t="s">
        <v>231</v>
      </c>
      <c r="E230" s="30"/>
      <c r="F230" s="30" t="s">
        <v>311</v>
      </c>
      <c r="G230" s="31">
        <f>K7+30</f>
        <v>41183</v>
      </c>
      <c r="H230" s="116">
        <f t="shared" si="82"/>
        <v>41203</v>
      </c>
      <c r="I230" s="31"/>
      <c r="J230" s="118">
        <v>20</v>
      </c>
      <c r="K230" s="117" t="str">
        <f t="shared" si="73"/>
        <v/>
      </c>
      <c r="L230" s="117" t="str">
        <f t="shared" si="74"/>
        <v>X</v>
      </c>
      <c r="M230" s="117" t="str">
        <f t="shared" si="75"/>
        <v/>
      </c>
      <c r="N230" s="47"/>
      <c r="O230" s="22"/>
      <c r="P230" s="18"/>
      <c r="Q230" s="27"/>
      <c r="R230" s="22"/>
      <c r="S230" s="27"/>
      <c r="T230" s="47"/>
    </row>
    <row r="231" spans="1:20" s="19" customFormat="1" ht="15.75" x14ac:dyDescent="0.2">
      <c r="A231" s="29"/>
      <c r="B231" s="29"/>
      <c r="C231" s="29" t="s">
        <v>87</v>
      </c>
      <c r="D231" s="32" t="s">
        <v>232</v>
      </c>
      <c r="E231" s="30"/>
      <c r="F231" s="30" t="s">
        <v>313</v>
      </c>
      <c r="G231" s="31">
        <f>K7+60</f>
        <v>41213</v>
      </c>
      <c r="H231" s="116">
        <f t="shared" si="82"/>
        <v>41223</v>
      </c>
      <c r="I231" s="31"/>
      <c r="J231" s="118">
        <v>10</v>
      </c>
      <c r="K231" s="117" t="str">
        <f t="shared" si="73"/>
        <v/>
      </c>
      <c r="L231" s="117" t="str">
        <f t="shared" si="74"/>
        <v>X</v>
      </c>
      <c r="M231" s="117" t="str">
        <f t="shared" si="75"/>
        <v/>
      </c>
      <c r="N231" s="47"/>
      <c r="O231" s="22"/>
      <c r="P231" s="18"/>
      <c r="Q231" s="27"/>
      <c r="R231" s="22"/>
      <c r="S231" s="27"/>
      <c r="T231" s="47"/>
    </row>
    <row r="232" spans="1:20" s="19" customFormat="1" ht="30" x14ac:dyDescent="0.2">
      <c r="A232" s="29"/>
      <c r="B232" s="29"/>
      <c r="C232" s="29" t="s">
        <v>87</v>
      </c>
      <c r="D232" s="32" t="s">
        <v>233</v>
      </c>
      <c r="E232" s="30"/>
      <c r="F232" s="30" t="s">
        <v>313</v>
      </c>
      <c r="G232" s="31">
        <f>K7+60</f>
        <v>41213</v>
      </c>
      <c r="H232" s="116">
        <f t="shared" si="82"/>
        <v>41218</v>
      </c>
      <c r="I232" s="31"/>
      <c r="J232" s="118">
        <v>5</v>
      </c>
      <c r="K232" s="117" t="str">
        <f t="shared" si="73"/>
        <v/>
      </c>
      <c r="L232" s="117" t="str">
        <f t="shared" si="74"/>
        <v>X</v>
      </c>
      <c r="M232" s="117" t="str">
        <f t="shared" si="75"/>
        <v/>
      </c>
      <c r="N232" s="47"/>
      <c r="O232" s="22"/>
      <c r="P232" s="18"/>
      <c r="Q232" s="27"/>
      <c r="R232" s="22"/>
      <c r="S232" s="27"/>
      <c r="T232" s="47"/>
    </row>
    <row r="233" spans="1:20" s="19" customFormat="1" ht="30" x14ac:dyDescent="0.2">
      <c r="A233" s="29"/>
      <c r="B233" s="29"/>
      <c r="C233" s="29" t="s">
        <v>87</v>
      </c>
      <c r="D233" s="32" t="s">
        <v>234</v>
      </c>
      <c r="E233" s="30"/>
      <c r="F233" s="30" t="s">
        <v>313</v>
      </c>
      <c r="G233" s="31">
        <f>K7+60</f>
        <v>41213</v>
      </c>
      <c r="H233" s="116">
        <f t="shared" si="82"/>
        <v>41216</v>
      </c>
      <c r="I233" s="31"/>
      <c r="J233" s="118">
        <v>3</v>
      </c>
      <c r="K233" s="117" t="str">
        <f t="shared" si="73"/>
        <v/>
      </c>
      <c r="L233" s="117" t="str">
        <f t="shared" si="74"/>
        <v>X</v>
      </c>
      <c r="M233" s="117" t="str">
        <f t="shared" si="75"/>
        <v/>
      </c>
      <c r="N233" s="47"/>
      <c r="O233" s="22"/>
      <c r="P233" s="18"/>
      <c r="Q233" s="27"/>
      <c r="R233" s="22"/>
      <c r="S233" s="27"/>
      <c r="T233" s="47"/>
    </row>
    <row r="234" spans="1:20" s="19" customFormat="1" ht="30" x14ac:dyDescent="0.2">
      <c r="A234" s="29"/>
      <c r="B234" s="29"/>
      <c r="C234" s="29" t="s">
        <v>87</v>
      </c>
      <c r="D234" s="32" t="s">
        <v>235</v>
      </c>
      <c r="E234" s="30"/>
      <c r="F234" s="30" t="s">
        <v>313</v>
      </c>
      <c r="G234" s="31">
        <f>K7+60</f>
        <v>41213</v>
      </c>
      <c r="H234" s="116">
        <f t="shared" si="82"/>
        <v>41214</v>
      </c>
      <c r="I234" s="31"/>
      <c r="J234" s="118">
        <v>1</v>
      </c>
      <c r="K234" s="117" t="str">
        <f t="shared" si="73"/>
        <v/>
      </c>
      <c r="L234" s="117" t="str">
        <f t="shared" si="74"/>
        <v>X</v>
      </c>
      <c r="M234" s="117" t="str">
        <f t="shared" si="75"/>
        <v/>
      </c>
      <c r="N234" s="47"/>
      <c r="O234" s="22"/>
      <c r="P234" s="18"/>
      <c r="Q234" s="27"/>
      <c r="R234" s="22"/>
      <c r="S234" s="27"/>
      <c r="T234" s="47"/>
    </row>
    <row r="235" spans="1:20" s="19" customFormat="1" ht="15.75" x14ac:dyDescent="0.2">
      <c r="A235" s="29"/>
      <c r="B235" s="29"/>
      <c r="C235" s="29" t="s">
        <v>87</v>
      </c>
      <c r="D235" s="32" t="s">
        <v>236</v>
      </c>
      <c r="E235" s="30"/>
      <c r="F235" s="30" t="s">
        <v>314</v>
      </c>
      <c r="G235" s="31">
        <f>K7+90</f>
        <v>41243</v>
      </c>
      <c r="H235" s="116">
        <f t="shared" si="82"/>
        <v>41253</v>
      </c>
      <c r="I235" s="31"/>
      <c r="J235" s="118">
        <v>10</v>
      </c>
      <c r="K235" s="117" t="str">
        <f t="shared" si="73"/>
        <v/>
      </c>
      <c r="L235" s="117" t="str">
        <f t="shared" si="74"/>
        <v/>
      </c>
      <c r="M235" s="117" t="str">
        <f t="shared" si="75"/>
        <v>X</v>
      </c>
      <c r="N235" s="47"/>
      <c r="O235" s="22"/>
      <c r="P235" s="18"/>
      <c r="Q235" s="27"/>
      <c r="R235" s="22"/>
      <c r="S235" s="27"/>
      <c r="T235" s="47"/>
    </row>
    <row r="236" spans="1:20" s="19" customFormat="1" ht="15.75" x14ac:dyDescent="0.2">
      <c r="A236" s="29"/>
      <c r="B236" s="29"/>
      <c r="C236" s="29" t="s">
        <v>87</v>
      </c>
      <c r="D236" s="32" t="s">
        <v>237</v>
      </c>
      <c r="E236" s="30"/>
      <c r="F236" s="30" t="s">
        <v>121</v>
      </c>
      <c r="G236" s="31">
        <f>K7+91</f>
        <v>41244</v>
      </c>
      <c r="H236" s="116">
        <f t="shared" si="82"/>
        <v>41249</v>
      </c>
      <c r="I236" s="31"/>
      <c r="J236" s="118">
        <v>5</v>
      </c>
      <c r="K236" s="117" t="str">
        <f t="shared" si="73"/>
        <v/>
      </c>
      <c r="L236" s="117" t="str">
        <f t="shared" si="74"/>
        <v/>
      </c>
      <c r="M236" s="117" t="str">
        <f t="shared" si="75"/>
        <v>X</v>
      </c>
      <c r="N236" s="47"/>
      <c r="O236" s="22"/>
      <c r="P236" s="18"/>
      <c r="Q236" s="27"/>
      <c r="R236" s="22"/>
      <c r="S236" s="27"/>
      <c r="T236" s="47"/>
    </row>
    <row r="237" spans="1:20" s="19" customFormat="1" ht="30" x14ac:dyDescent="0.2">
      <c r="A237" s="29"/>
      <c r="B237" s="29"/>
      <c r="C237" s="29" t="s">
        <v>87</v>
      </c>
      <c r="D237" s="32" t="s">
        <v>238</v>
      </c>
      <c r="E237" s="30"/>
      <c r="F237" s="30" t="s">
        <v>313</v>
      </c>
      <c r="G237" s="31">
        <f>K7+60</f>
        <v>41213</v>
      </c>
      <c r="H237" s="116">
        <f t="shared" si="82"/>
        <v>41223</v>
      </c>
      <c r="I237" s="31"/>
      <c r="J237" s="118">
        <v>10</v>
      </c>
      <c r="K237" s="117" t="str">
        <f t="shared" si="73"/>
        <v/>
      </c>
      <c r="L237" s="117" t="str">
        <f t="shared" si="74"/>
        <v>X</v>
      </c>
      <c r="M237" s="117" t="str">
        <f t="shared" si="75"/>
        <v/>
      </c>
      <c r="N237" s="47"/>
      <c r="O237" s="22"/>
      <c r="P237" s="18"/>
      <c r="Q237" s="27"/>
      <c r="R237" s="22"/>
      <c r="S237" s="27"/>
      <c r="T237" s="47"/>
    </row>
    <row r="238" spans="1:20" s="19" customFormat="1" ht="15.75" x14ac:dyDescent="0.2">
      <c r="A238" s="112"/>
      <c r="B238" s="93"/>
      <c r="C238" s="93" t="s">
        <v>87</v>
      </c>
      <c r="D238" s="94" t="s">
        <v>239</v>
      </c>
      <c r="E238" s="95"/>
      <c r="F238" s="95" t="s">
        <v>311</v>
      </c>
      <c r="G238" s="96">
        <f>K7+30</f>
        <v>41183</v>
      </c>
      <c r="H238" s="96">
        <f>G238+J238</f>
        <v>41213</v>
      </c>
      <c r="I238" s="97"/>
      <c r="J238" s="98">
        <v>30</v>
      </c>
      <c r="K238" s="99" t="str">
        <f t="shared" si="73"/>
        <v/>
      </c>
      <c r="L238" s="99" t="str">
        <f t="shared" si="74"/>
        <v>X</v>
      </c>
      <c r="M238" s="99" t="str">
        <f t="shared" si="75"/>
        <v/>
      </c>
      <c r="N238" s="95"/>
      <c r="O238" s="100"/>
      <c r="P238" s="103"/>
      <c r="Q238" s="101"/>
      <c r="R238" s="101"/>
      <c r="S238" s="102"/>
      <c r="T238" s="95"/>
    </row>
    <row r="239" spans="1:20" s="19" customFormat="1" ht="15.75" x14ac:dyDescent="0.2">
      <c r="A239" s="29"/>
      <c r="B239" s="29"/>
      <c r="C239" s="29" t="s">
        <v>87</v>
      </c>
      <c r="D239" s="32" t="s">
        <v>240</v>
      </c>
      <c r="E239" s="30"/>
      <c r="F239" s="30" t="s">
        <v>120</v>
      </c>
      <c r="G239" s="31">
        <f>K7</f>
        <v>41153</v>
      </c>
      <c r="H239" s="116">
        <f t="shared" ref="H239:H241" si="83">G239+J239</f>
        <v>41158</v>
      </c>
      <c r="I239" s="31"/>
      <c r="J239" s="118">
        <v>5</v>
      </c>
      <c r="K239" s="117" t="str">
        <f t="shared" si="73"/>
        <v/>
      </c>
      <c r="L239" s="117" t="str">
        <f t="shared" si="74"/>
        <v>X</v>
      </c>
      <c r="M239" s="117" t="str">
        <f t="shared" si="75"/>
        <v/>
      </c>
      <c r="N239" s="47"/>
      <c r="O239" s="22"/>
      <c r="P239" s="18"/>
      <c r="Q239" s="27"/>
      <c r="R239" s="22"/>
      <c r="S239" s="27"/>
      <c r="T239" s="47"/>
    </row>
    <row r="240" spans="1:20" s="19" customFormat="1" ht="15.75" x14ac:dyDescent="0.2">
      <c r="A240" s="29"/>
      <c r="B240" s="29"/>
      <c r="C240" s="29" t="s">
        <v>87</v>
      </c>
      <c r="D240" s="32" t="s">
        <v>241</v>
      </c>
      <c r="E240" s="30"/>
      <c r="F240" s="30" t="s">
        <v>311</v>
      </c>
      <c r="G240" s="31">
        <f>K7+30</f>
        <v>41183</v>
      </c>
      <c r="H240" s="116">
        <f t="shared" si="83"/>
        <v>41213</v>
      </c>
      <c r="I240" s="31"/>
      <c r="J240" s="118">
        <v>30</v>
      </c>
      <c r="K240" s="117" t="str">
        <f t="shared" si="73"/>
        <v/>
      </c>
      <c r="L240" s="117" t="str">
        <f t="shared" si="74"/>
        <v>X</v>
      </c>
      <c r="M240" s="117" t="str">
        <f t="shared" si="75"/>
        <v/>
      </c>
      <c r="N240" s="47"/>
      <c r="O240" s="22"/>
      <c r="P240" s="18"/>
      <c r="Q240" s="27"/>
      <c r="R240" s="22"/>
      <c r="S240" s="27"/>
      <c r="T240" s="47"/>
    </row>
    <row r="241" spans="1:20" s="19" customFormat="1" ht="15.75" x14ac:dyDescent="0.2">
      <c r="A241" s="29"/>
      <c r="B241" s="29"/>
      <c r="C241" s="29" t="s">
        <v>87</v>
      </c>
      <c r="D241" s="32" t="s">
        <v>242</v>
      </c>
      <c r="E241" s="30"/>
      <c r="F241" s="30" t="s">
        <v>311</v>
      </c>
      <c r="G241" s="31">
        <f>K7+30</f>
        <v>41183</v>
      </c>
      <c r="H241" s="116">
        <f t="shared" si="83"/>
        <v>41213</v>
      </c>
      <c r="I241" s="31"/>
      <c r="J241" s="118">
        <v>30</v>
      </c>
      <c r="K241" s="117" t="str">
        <f t="shared" si="73"/>
        <v/>
      </c>
      <c r="L241" s="117" t="str">
        <f t="shared" si="74"/>
        <v>X</v>
      </c>
      <c r="M241" s="117" t="str">
        <f t="shared" si="75"/>
        <v/>
      </c>
      <c r="N241" s="47"/>
      <c r="O241" s="22"/>
      <c r="P241" s="18"/>
      <c r="Q241" s="27"/>
      <c r="R241" s="22"/>
      <c r="S241" s="27"/>
      <c r="T241" s="47"/>
    </row>
    <row r="242" spans="1:20" s="19" customFormat="1" ht="15.75" x14ac:dyDescent="0.2">
      <c r="A242" s="112"/>
      <c r="B242" s="93"/>
      <c r="C242" s="93" t="s">
        <v>87</v>
      </c>
      <c r="D242" s="94" t="s">
        <v>243</v>
      </c>
      <c r="E242" s="95"/>
      <c r="F242" s="95" t="s">
        <v>314</v>
      </c>
      <c r="G242" s="96">
        <f>K7+90</f>
        <v>41243</v>
      </c>
      <c r="H242" s="96">
        <f>G242+J242</f>
        <v>41303</v>
      </c>
      <c r="I242" s="97"/>
      <c r="J242" s="98">
        <v>60</v>
      </c>
      <c r="K242" s="99" t="str">
        <f t="shared" si="73"/>
        <v/>
      </c>
      <c r="L242" s="99" t="str">
        <f t="shared" si="74"/>
        <v/>
      </c>
      <c r="M242" s="99" t="str">
        <f t="shared" si="75"/>
        <v>X</v>
      </c>
      <c r="N242" s="95"/>
      <c r="O242" s="100"/>
      <c r="P242" s="103"/>
      <c r="Q242" s="101"/>
      <c r="R242" s="101"/>
      <c r="S242" s="102"/>
      <c r="T242" s="95"/>
    </row>
    <row r="243" spans="1:20" s="19" customFormat="1" ht="15.75" x14ac:dyDescent="0.2">
      <c r="A243" s="29"/>
      <c r="B243" s="29"/>
      <c r="C243" s="29" t="s">
        <v>87</v>
      </c>
      <c r="D243" s="32" t="s">
        <v>244</v>
      </c>
      <c r="E243" s="30"/>
      <c r="F243" s="30" t="s">
        <v>311</v>
      </c>
      <c r="G243" s="31">
        <f>K7+30</f>
        <v>41183</v>
      </c>
      <c r="H243" s="116">
        <f t="shared" ref="H243:H248" si="84">G243+J243</f>
        <v>41188</v>
      </c>
      <c r="I243" s="31"/>
      <c r="J243" s="118">
        <v>5</v>
      </c>
      <c r="K243" s="117" t="str">
        <f t="shared" si="73"/>
        <v/>
      </c>
      <c r="L243" s="117" t="str">
        <f t="shared" si="74"/>
        <v>X</v>
      </c>
      <c r="M243" s="117" t="str">
        <f t="shared" si="75"/>
        <v/>
      </c>
      <c r="N243" s="47"/>
      <c r="O243" s="22"/>
      <c r="P243" s="18"/>
      <c r="Q243" s="27"/>
      <c r="R243" s="22"/>
      <c r="S243" s="27"/>
      <c r="T243" s="47"/>
    </row>
    <row r="244" spans="1:20" s="19" customFormat="1" ht="15.75" x14ac:dyDescent="0.2">
      <c r="A244" s="29"/>
      <c r="B244" s="29"/>
      <c r="C244" s="29" t="s">
        <v>87</v>
      </c>
      <c r="D244" s="32" t="s">
        <v>245</v>
      </c>
      <c r="E244" s="30"/>
      <c r="F244" s="30" t="s">
        <v>311</v>
      </c>
      <c r="G244" s="31">
        <f>K7+30</f>
        <v>41183</v>
      </c>
      <c r="H244" s="116">
        <f t="shared" si="84"/>
        <v>41193</v>
      </c>
      <c r="I244" s="31"/>
      <c r="J244" s="118">
        <v>10</v>
      </c>
      <c r="K244" s="117" t="str">
        <f t="shared" si="73"/>
        <v/>
      </c>
      <c r="L244" s="117" t="str">
        <f t="shared" si="74"/>
        <v>X</v>
      </c>
      <c r="M244" s="117" t="str">
        <f t="shared" si="75"/>
        <v/>
      </c>
      <c r="N244" s="47"/>
      <c r="O244" s="22"/>
      <c r="P244" s="18"/>
      <c r="Q244" s="27"/>
      <c r="R244" s="22"/>
      <c r="S244" s="27"/>
      <c r="T244" s="47"/>
    </row>
    <row r="245" spans="1:20" s="19" customFormat="1" ht="15.75" x14ac:dyDescent="0.2">
      <c r="A245" s="29"/>
      <c r="B245" s="29"/>
      <c r="C245" s="29" t="s">
        <v>87</v>
      </c>
      <c r="D245" s="32" t="s">
        <v>246</v>
      </c>
      <c r="E245" s="30"/>
      <c r="F245" s="30" t="s">
        <v>311</v>
      </c>
      <c r="G245" s="31">
        <f>K7+30</f>
        <v>41183</v>
      </c>
      <c r="H245" s="116">
        <f t="shared" si="84"/>
        <v>41193</v>
      </c>
      <c r="I245" s="31"/>
      <c r="J245" s="118">
        <v>10</v>
      </c>
      <c r="K245" s="117" t="str">
        <f t="shared" si="73"/>
        <v/>
      </c>
      <c r="L245" s="117" t="str">
        <f t="shared" si="74"/>
        <v>X</v>
      </c>
      <c r="M245" s="117" t="str">
        <f t="shared" si="75"/>
        <v/>
      </c>
      <c r="N245" s="47"/>
      <c r="O245" s="22"/>
      <c r="P245" s="18"/>
      <c r="Q245" s="27"/>
      <c r="R245" s="22"/>
      <c r="S245" s="27"/>
      <c r="T245" s="47"/>
    </row>
    <row r="246" spans="1:20" s="19" customFormat="1" ht="15.75" x14ac:dyDescent="0.2">
      <c r="A246" s="29"/>
      <c r="B246" s="29"/>
      <c r="C246" s="29" t="s">
        <v>87</v>
      </c>
      <c r="D246" s="32" t="s">
        <v>247</v>
      </c>
      <c r="E246" s="30"/>
      <c r="F246" s="30" t="s">
        <v>313</v>
      </c>
      <c r="G246" s="31">
        <f>K7+60</f>
        <v>41213</v>
      </c>
      <c r="H246" s="116">
        <f t="shared" si="84"/>
        <v>41218</v>
      </c>
      <c r="I246" s="31"/>
      <c r="J246" s="118">
        <v>5</v>
      </c>
      <c r="K246" s="117" t="str">
        <f t="shared" si="73"/>
        <v/>
      </c>
      <c r="L246" s="117" t="str">
        <f t="shared" si="74"/>
        <v>X</v>
      </c>
      <c r="M246" s="117" t="str">
        <f t="shared" si="75"/>
        <v/>
      </c>
      <c r="N246" s="47"/>
      <c r="O246" s="22"/>
      <c r="P246" s="18"/>
      <c r="Q246" s="27"/>
      <c r="R246" s="22"/>
      <c r="S246" s="27"/>
      <c r="T246" s="47"/>
    </row>
    <row r="247" spans="1:20" s="19" customFormat="1" ht="15.75" x14ac:dyDescent="0.2">
      <c r="A247" s="29"/>
      <c r="B247" s="29"/>
      <c r="C247" s="29" t="s">
        <v>87</v>
      </c>
      <c r="D247" s="32" t="s">
        <v>248</v>
      </c>
      <c r="E247" s="30"/>
      <c r="F247" s="30" t="s">
        <v>314</v>
      </c>
      <c r="G247" s="31">
        <f>K7+90</f>
        <v>41243</v>
      </c>
      <c r="H247" s="116">
        <f t="shared" si="84"/>
        <v>41303</v>
      </c>
      <c r="I247" s="31"/>
      <c r="J247" s="118">
        <v>60</v>
      </c>
      <c r="K247" s="117" t="str">
        <f t="shared" si="73"/>
        <v/>
      </c>
      <c r="L247" s="117" t="str">
        <f t="shared" si="74"/>
        <v/>
      </c>
      <c r="M247" s="117" t="str">
        <f t="shared" si="75"/>
        <v>X</v>
      </c>
      <c r="N247" s="47"/>
      <c r="O247" s="22"/>
      <c r="P247" s="18"/>
      <c r="Q247" s="27"/>
      <c r="R247" s="22"/>
      <c r="S247" s="27"/>
      <c r="T247" s="47"/>
    </row>
    <row r="248" spans="1:20" s="19" customFormat="1" ht="30" x14ac:dyDescent="0.2">
      <c r="A248" s="29"/>
      <c r="B248" s="29"/>
      <c r="C248" s="29" t="s">
        <v>87</v>
      </c>
      <c r="D248" s="32" t="s">
        <v>249</v>
      </c>
      <c r="E248" s="30"/>
      <c r="F248" s="30" t="s">
        <v>314</v>
      </c>
      <c r="G248" s="31">
        <f>K7+90</f>
        <v>41243</v>
      </c>
      <c r="H248" s="116">
        <f t="shared" si="84"/>
        <v>41303</v>
      </c>
      <c r="I248" s="31"/>
      <c r="J248" s="118">
        <v>60</v>
      </c>
      <c r="K248" s="117" t="str">
        <f t="shared" si="73"/>
        <v/>
      </c>
      <c r="L248" s="117" t="str">
        <f t="shared" si="74"/>
        <v/>
      </c>
      <c r="M248" s="117" t="str">
        <f t="shared" si="75"/>
        <v>X</v>
      </c>
      <c r="N248" s="47"/>
      <c r="O248" s="22"/>
      <c r="P248" s="18"/>
      <c r="Q248" s="27"/>
      <c r="R248" s="22"/>
      <c r="S248" s="27"/>
      <c r="T248" s="47"/>
    </row>
    <row r="249" spans="1:20" s="19" customFormat="1" ht="15.75" x14ac:dyDescent="0.2">
      <c r="A249" s="112"/>
      <c r="B249" s="93"/>
      <c r="C249" s="93" t="s">
        <v>87</v>
      </c>
      <c r="D249" s="94" t="s">
        <v>192</v>
      </c>
      <c r="E249" s="95"/>
      <c r="F249" s="95" t="s">
        <v>312</v>
      </c>
      <c r="G249" s="96" t="str">
        <f>K66</f>
        <v/>
      </c>
      <c r="H249" s="96" t="e">
        <f>G249+J249</f>
        <v>#VALUE!</v>
      </c>
      <c r="I249" s="97"/>
      <c r="J249" s="98">
        <v>60</v>
      </c>
      <c r="K249" s="99" t="e">
        <f t="shared" si="73"/>
        <v>#VALUE!</v>
      </c>
      <c r="L249" s="99" t="e">
        <f t="shared" si="74"/>
        <v>#VALUE!</v>
      </c>
      <c r="M249" s="99" t="e">
        <f t="shared" si="75"/>
        <v>#VALUE!</v>
      </c>
      <c r="N249" s="95"/>
      <c r="O249" s="100"/>
      <c r="P249" s="103"/>
      <c r="Q249" s="101"/>
      <c r="R249" s="101"/>
      <c r="S249" s="102"/>
      <c r="T249" s="95"/>
    </row>
    <row r="250" spans="1:20" s="176" customFormat="1" ht="15.75" x14ac:dyDescent="0.2">
      <c r="A250" s="168"/>
      <c r="B250" s="168"/>
      <c r="C250" s="168" t="s">
        <v>87</v>
      </c>
      <c r="D250" s="169" t="s">
        <v>193</v>
      </c>
      <c r="E250" s="170"/>
      <c r="F250" s="170" t="s">
        <v>120</v>
      </c>
      <c r="G250" s="171" t="str">
        <f>K66</f>
        <v/>
      </c>
      <c r="H250" s="171" t="e">
        <f t="shared" ref="H250:H276" si="85">G250+J250</f>
        <v>#VALUE!</v>
      </c>
      <c r="I250" s="171"/>
      <c r="J250" s="172">
        <v>5</v>
      </c>
      <c r="K250" s="173" t="e">
        <f t="shared" si="73"/>
        <v>#VALUE!</v>
      </c>
      <c r="L250" s="173" t="e">
        <f t="shared" si="74"/>
        <v>#VALUE!</v>
      </c>
      <c r="M250" s="173" t="e">
        <f t="shared" si="75"/>
        <v>#VALUE!</v>
      </c>
      <c r="N250" s="174"/>
      <c r="O250" s="175"/>
      <c r="Q250" s="177"/>
      <c r="R250" s="175"/>
      <c r="S250" s="177"/>
      <c r="T250" s="174"/>
    </row>
    <row r="251" spans="1:20" s="176" customFormat="1" ht="15.75" x14ac:dyDescent="0.2">
      <c r="A251" s="168"/>
      <c r="B251" s="168"/>
      <c r="C251" s="168" t="s">
        <v>87</v>
      </c>
      <c r="D251" s="169" t="s">
        <v>194</v>
      </c>
      <c r="E251" s="170"/>
      <c r="F251" s="170" t="s">
        <v>120</v>
      </c>
      <c r="G251" s="171" t="str">
        <f>K66</f>
        <v/>
      </c>
      <c r="H251" s="171" t="e">
        <f t="shared" si="85"/>
        <v>#VALUE!</v>
      </c>
      <c r="I251" s="171"/>
      <c r="J251" s="172">
        <v>5</v>
      </c>
      <c r="K251" s="173" t="e">
        <f t="shared" si="73"/>
        <v>#VALUE!</v>
      </c>
      <c r="L251" s="173" t="e">
        <f t="shared" si="74"/>
        <v>#VALUE!</v>
      </c>
      <c r="M251" s="173" t="e">
        <f t="shared" si="75"/>
        <v>#VALUE!</v>
      </c>
      <c r="N251" s="174"/>
      <c r="O251" s="175"/>
      <c r="Q251" s="177"/>
      <c r="R251" s="175"/>
      <c r="S251" s="177"/>
      <c r="T251" s="174"/>
    </row>
    <row r="252" spans="1:20" s="176" customFormat="1" ht="15.75" x14ac:dyDescent="0.2">
      <c r="A252" s="168"/>
      <c r="B252" s="168"/>
      <c r="C252" s="168" t="s">
        <v>87</v>
      </c>
      <c r="D252" s="169" t="s">
        <v>195</v>
      </c>
      <c r="E252" s="170"/>
      <c r="F252" s="170" t="s">
        <v>120</v>
      </c>
      <c r="G252" s="171" t="str">
        <f>K66</f>
        <v/>
      </c>
      <c r="H252" s="171" t="e">
        <f t="shared" si="85"/>
        <v>#VALUE!</v>
      </c>
      <c r="I252" s="171"/>
      <c r="J252" s="172">
        <v>5</v>
      </c>
      <c r="K252" s="173" t="e">
        <f t="shared" si="73"/>
        <v>#VALUE!</v>
      </c>
      <c r="L252" s="173" t="e">
        <f t="shared" si="74"/>
        <v>#VALUE!</v>
      </c>
      <c r="M252" s="173" t="e">
        <f t="shared" si="75"/>
        <v>#VALUE!</v>
      </c>
      <c r="N252" s="174"/>
      <c r="O252" s="175"/>
      <c r="Q252" s="177"/>
      <c r="R252" s="175"/>
      <c r="S252" s="177"/>
      <c r="T252" s="174"/>
    </row>
    <row r="253" spans="1:20" s="176" customFormat="1" ht="15.75" x14ac:dyDescent="0.2">
      <c r="A253" s="168"/>
      <c r="B253" s="168"/>
      <c r="C253" s="168" t="s">
        <v>87</v>
      </c>
      <c r="D253" s="169" t="s">
        <v>196</v>
      </c>
      <c r="E253" s="170"/>
      <c r="F253" s="170" t="s">
        <v>120</v>
      </c>
      <c r="G253" s="171" t="str">
        <f>K66</f>
        <v/>
      </c>
      <c r="H253" s="171" t="e">
        <f t="shared" si="85"/>
        <v>#VALUE!</v>
      </c>
      <c r="I253" s="171"/>
      <c r="J253" s="172">
        <v>5</v>
      </c>
      <c r="K253" s="173" t="e">
        <f t="shared" si="73"/>
        <v>#VALUE!</v>
      </c>
      <c r="L253" s="173" t="e">
        <f t="shared" si="74"/>
        <v>#VALUE!</v>
      </c>
      <c r="M253" s="173" t="e">
        <f t="shared" si="75"/>
        <v>#VALUE!</v>
      </c>
      <c r="N253" s="174"/>
      <c r="O253" s="175"/>
      <c r="Q253" s="177"/>
      <c r="R253" s="175"/>
      <c r="S253" s="177"/>
      <c r="T253" s="174"/>
    </row>
    <row r="254" spans="1:20" s="176" customFormat="1" ht="30" x14ac:dyDescent="0.2">
      <c r="A254" s="168"/>
      <c r="B254" s="168"/>
      <c r="C254" s="168" t="s">
        <v>87</v>
      </c>
      <c r="D254" s="169" t="s">
        <v>197</v>
      </c>
      <c r="E254" s="170"/>
      <c r="F254" s="170" t="s">
        <v>120</v>
      </c>
      <c r="G254" s="171" t="str">
        <f>K66</f>
        <v/>
      </c>
      <c r="H254" s="171" t="e">
        <f t="shared" si="85"/>
        <v>#VALUE!</v>
      </c>
      <c r="I254" s="171"/>
      <c r="J254" s="172">
        <v>5</v>
      </c>
      <c r="K254" s="173" t="e">
        <f t="shared" si="73"/>
        <v>#VALUE!</v>
      </c>
      <c r="L254" s="173" t="e">
        <f t="shared" si="74"/>
        <v>#VALUE!</v>
      </c>
      <c r="M254" s="173" t="e">
        <f t="shared" si="75"/>
        <v>#VALUE!</v>
      </c>
      <c r="N254" s="174"/>
      <c r="O254" s="175"/>
      <c r="Q254" s="177"/>
      <c r="R254" s="175"/>
      <c r="S254" s="177"/>
      <c r="T254" s="174"/>
    </row>
    <row r="255" spans="1:20" s="176" customFormat="1" ht="15.75" x14ac:dyDescent="0.2">
      <c r="A255" s="168"/>
      <c r="B255" s="168"/>
      <c r="C255" s="168" t="s">
        <v>87</v>
      </c>
      <c r="D255" s="169" t="s">
        <v>198</v>
      </c>
      <c r="E255" s="170"/>
      <c r="F255" s="170" t="s">
        <v>120</v>
      </c>
      <c r="G255" s="171" t="str">
        <f>K66</f>
        <v/>
      </c>
      <c r="H255" s="171" t="e">
        <f t="shared" si="85"/>
        <v>#VALUE!</v>
      </c>
      <c r="I255" s="171"/>
      <c r="J255" s="172">
        <v>5</v>
      </c>
      <c r="K255" s="173" t="e">
        <f t="shared" si="73"/>
        <v>#VALUE!</v>
      </c>
      <c r="L255" s="173" t="e">
        <f t="shared" si="74"/>
        <v>#VALUE!</v>
      </c>
      <c r="M255" s="173" t="e">
        <f t="shared" si="75"/>
        <v>#VALUE!</v>
      </c>
      <c r="N255" s="174"/>
      <c r="O255" s="175"/>
      <c r="Q255" s="177"/>
      <c r="R255" s="175"/>
      <c r="S255" s="177"/>
      <c r="T255" s="174"/>
    </row>
    <row r="256" spans="1:20" s="176" customFormat="1" ht="15.75" x14ac:dyDescent="0.2">
      <c r="A256" s="168"/>
      <c r="B256" s="168"/>
      <c r="C256" s="168" t="s">
        <v>87</v>
      </c>
      <c r="D256" s="169" t="s">
        <v>199</v>
      </c>
      <c r="E256" s="170"/>
      <c r="F256" s="170" t="s">
        <v>120</v>
      </c>
      <c r="G256" s="171" t="str">
        <f>K66</f>
        <v/>
      </c>
      <c r="H256" s="171" t="e">
        <f t="shared" si="85"/>
        <v>#VALUE!</v>
      </c>
      <c r="I256" s="171"/>
      <c r="J256" s="172">
        <v>3</v>
      </c>
      <c r="K256" s="173" t="e">
        <f t="shared" si="73"/>
        <v>#VALUE!</v>
      </c>
      <c r="L256" s="173" t="e">
        <f t="shared" si="74"/>
        <v>#VALUE!</v>
      </c>
      <c r="M256" s="173" t="e">
        <f t="shared" si="75"/>
        <v>#VALUE!</v>
      </c>
      <c r="N256" s="174"/>
      <c r="O256" s="175"/>
      <c r="Q256" s="177"/>
      <c r="R256" s="175"/>
      <c r="S256" s="177"/>
      <c r="T256" s="174"/>
    </row>
    <row r="257" spans="1:20" s="176" customFormat="1" ht="15.75" x14ac:dyDescent="0.2">
      <c r="A257" s="168"/>
      <c r="B257" s="168"/>
      <c r="C257" s="168" t="s">
        <v>87</v>
      </c>
      <c r="D257" s="169" t="s">
        <v>200</v>
      </c>
      <c r="E257" s="170"/>
      <c r="F257" s="170" t="s">
        <v>120</v>
      </c>
      <c r="G257" s="171" t="str">
        <f>K66</f>
        <v/>
      </c>
      <c r="H257" s="171" t="e">
        <f t="shared" si="85"/>
        <v>#VALUE!</v>
      </c>
      <c r="I257" s="171"/>
      <c r="J257" s="172">
        <v>5</v>
      </c>
      <c r="K257" s="173" t="e">
        <f t="shared" si="73"/>
        <v>#VALUE!</v>
      </c>
      <c r="L257" s="173" t="e">
        <f t="shared" si="74"/>
        <v>#VALUE!</v>
      </c>
      <c r="M257" s="173" t="e">
        <f t="shared" si="75"/>
        <v>#VALUE!</v>
      </c>
      <c r="N257" s="174"/>
      <c r="O257" s="175"/>
      <c r="Q257" s="177"/>
      <c r="R257" s="175"/>
      <c r="S257" s="177"/>
      <c r="T257" s="174"/>
    </row>
    <row r="258" spans="1:20" s="176" customFormat="1" ht="15.75" x14ac:dyDescent="0.2">
      <c r="A258" s="168"/>
      <c r="B258" s="168"/>
      <c r="C258" s="168" t="s">
        <v>87</v>
      </c>
      <c r="D258" s="169" t="s">
        <v>201</v>
      </c>
      <c r="E258" s="170"/>
      <c r="F258" s="170" t="s">
        <v>120</v>
      </c>
      <c r="G258" s="171" t="str">
        <f>K66</f>
        <v/>
      </c>
      <c r="H258" s="171" t="e">
        <f t="shared" si="85"/>
        <v>#VALUE!</v>
      </c>
      <c r="I258" s="171"/>
      <c r="J258" s="172">
        <v>5</v>
      </c>
      <c r="K258" s="173" t="e">
        <f t="shared" si="73"/>
        <v>#VALUE!</v>
      </c>
      <c r="L258" s="173" t="e">
        <f t="shared" si="74"/>
        <v>#VALUE!</v>
      </c>
      <c r="M258" s="173" t="e">
        <f t="shared" si="75"/>
        <v>#VALUE!</v>
      </c>
      <c r="N258" s="174"/>
      <c r="O258" s="175"/>
      <c r="Q258" s="177"/>
      <c r="R258" s="175"/>
      <c r="S258" s="177"/>
      <c r="T258" s="174"/>
    </row>
    <row r="259" spans="1:20" s="176" customFormat="1" ht="30" x14ac:dyDescent="0.2">
      <c r="A259" s="168"/>
      <c r="B259" s="168"/>
      <c r="C259" s="168" t="s">
        <v>87</v>
      </c>
      <c r="D259" s="169" t="s">
        <v>202</v>
      </c>
      <c r="E259" s="170"/>
      <c r="F259" s="170" t="s">
        <v>120</v>
      </c>
      <c r="G259" s="171" t="str">
        <f>K66</f>
        <v/>
      </c>
      <c r="H259" s="171" t="e">
        <f t="shared" si="85"/>
        <v>#VALUE!</v>
      </c>
      <c r="I259" s="171"/>
      <c r="J259" s="172">
        <v>10</v>
      </c>
      <c r="K259" s="173" t="e">
        <f t="shared" si="73"/>
        <v>#VALUE!</v>
      </c>
      <c r="L259" s="173" t="e">
        <f t="shared" si="74"/>
        <v>#VALUE!</v>
      </c>
      <c r="M259" s="173" t="e">
        <f t="shared" si="75"/>
        <v>#VALUE!</v>
      </c>
      <c r="N259" s="174"/>
      <c r="O259" s="175"/>
      <c r="Q259" s="177"/>
      <c r="R259" s="175"/>
      <c r="S259" s="177"/>
      <c r="T259" s="174"/>
    </row>
    <row r="260" spans="1:20" s="176" customFormat="1" ht="15.75" x14ac:dyDescent="0.2">
      <c r="A260" s="168"/>
      <c r="B260" s="168"/>
      <c r="C260" s="168" t="s">
        <v>87</v>
      </c>
      <c r="D260" s="169" t="s">
        <v>203</v>
      </c>
      <c r="E260" s="170"/>
      <c r="F260" s="170" t="s">
        <v>120</v>
      </c>
      <c r="G260" s="171" t="str">
        <f>K66</f>
        <v/>
      </c>
      <c r="H260" s="171" t="e">
        <f t="shared" si="85"/>
        <v>#VALUE!</v>
      </c>
      <c r="I260" s="171"/>
      <c r="J260" s="172">
        <v>10</v>
      </c>
      <c r="K260" s="173" t="e">
        <f t="shared" si="73"/>
        <v>#VALUE!</v>
      </c>
      <c r="L260" s="173" t="e">
        <f t="shared" si="74"/>
        <v>#VALUE!</v>
      </c>
      <c r="M260" s="173" t="e">
        <f t="shared" si="75"/>
        <v>#VALUE!</v>
      </c>
      <c r="N260" s="174"/>
      <c r="O260" s="175"/>
      <c r="Q260" s="177"/>
      <c r="R260" s="175"/>
      <c r="S260" s="177"/>
      <c r="T260" s="174"/>
    </row>
    <row r="261" spans="1:20" s="176" customFormat="1" ht="15.75" x14ac:dyDescent="0.2">
      <c r="A261" s="168"/>
      <c r="B261" s="168"/>
      <c r="C261" s="168" t="s">
        <v>87</v>
      </c>
      <c r="D261" s="169" t="s">
        <v>204</v>
      </c>
      <c r="E261" s="170"/>
      <c r="F261" s="170" t="s">
        <v>120</v>
      </c>
      <c r="G261" s="171" t="str">
        <f>K66</f>
        <v/>
      </c>
      <c r="H261" s="171" t="e">
        <f t="shared" si="85"/>
        <v>#VALUE!</v>
      </c>
      <c r="I261" s="171"/>
      <c r="J261" s="172">
        <v>5</v>
      </c>
      <c r="K261" s="173" t="e">
        <f t="shared" si="73"/>
        <v>#VALUE!</v>
      </c>
      <c r="L261" s="173" t="e">
        <f t="shared" si="74"/>
        <v>#VALUE!</v>
      </c>
      <c r="M261" s="173" t="e">
        <f t="shared" si="75"/>
        <v>#VALUE!</v>
      </c>
      <c r="N261" s="174"/>
      <c r="O261" s="175"/>
      <c r="Q261" s="177"/>
      <c r="R261" s="175"/>
      <c r="S261" s="177"/>
      <c r="T261" s="174"/>
    </row>
    <row r="262" spans="1:20" s="176" customFormat="1" ht="15.75" x14ac:dyDescent="0.2">
      <c r="A262" s="168"/>
      <c r="B262" s="168"/>
      <c r="C262" s="168" t="s">
        <v>87</v>
      </c>
      <c r="D262" s="169" t="s">
        <v>205</v>
      </c>
      <c r="E262" s="170"/>
      <c r="F262" s="170" t="s">
        <v>120</v>
      </c>
      <c r="G262" s="171" t="str">
        <f>K66</f>
        <v/>
      </c>
      <c r="H262" s="171" t="e">
        <f t="shared" si="85"/>
        <v>#VALUE!</v>
      </c>
      <c r="I262" s="171"/>
      <c r="J262" s="172">
        <v>5</v>
      </c>
      <c r="K262" s="173" t="e">
        <f t="shared" si="73"/>
        <v>#VALUE!</v>
      </c>
      <c r="L262" s="173" t="e">
        <f t="shared" si="74"/>
        <v>#VALUE!</v>
      </c>
      <c r="M262" s="173" t="e">
        <f t="shared" si="75"/>
        <v>#VALUE!</v>
      </c>
      <c r="N262" s="174"/>
      <c r="O262" s="175"/>
      <c r="Q262" s="177"/>
      <c r="R262" s="175"/>
      <c r="S262" s="177"/>
      <c r="T262" s="174"/>
    </row>
    <row r="263" spans="1:20" s="176" customFormat="1" ht="15.75" x14ac:dyDescent="0.2">
      <c r="A263" s="168"/>
      <c r="B263" s="168"/>
      <c r="C263" s="168" t="s">
        <v>87</v>
      </c>
      <c r="D263" s="169" t="s">
        <v>206</v>
      </c>
      <c r="E263" s="170"/>
      <c r="F263" s="170" t="s">
        <v>120</v>
      </c>
      <c r="G263" s="171" t="str">
        <f>K66</f>
        <v/>
      </c>
      <c r="H263" s="171" t="e">
        <f t="shared" si="85"/>
        <v>#VALUE!</v>
      </c>
      <c r="I263" s="171"/>
      <c r="J263" s="172">
        <v>5</v>
      </c>
      <c r="K263" s="173" t="e">
        <f t="shared" si="73"/>
        <v>#VALUE!</v>
      </c>
      <c r="L263" s="173" t="e">
        <f t="shared" si="74"/>
        <v>#VALUE!</v>
      </c>
      <c r="M263" s="173" t="e">
        <f t="shared" si="75"/>
        <v>#VALUE!</v>
      </c>
      <c r="N263" s="174"/>
      <c r="O263" s="175"/>
      <c r="Q263" s="177"/>
      <c r="R263" s="175"/>
      <c r="S263" s="177"/>
      <c r="T263" s="174"/>
    </row>
    <row r="264" spans="1:20" s="176" customFormat="1" ht="15.75" x14ac:dyDescent="0.2">
      <c r="A264" s="168"/>
      <c r="B264" s="168"/>
      <c r="C264" s="168" t="s">
        <v>87</v>
      </c>
      <c r="D264" s="169" t="s">
        <v>207</v>
      </c>
      <c r="E264" s="170"/>
      <c r="F264" s="170" t="s">
        <v>120</v>
      </c>
      <c r="G264" s="171" t="str">
        <f>K66</f>
        <v/>
      </c>
      <c r="H264" s="171" t="e">
        <f t="shared" si="85"/>
        <v>#VALUE!</v>
      </c>
      <c r="I264" s="171"/>
      <c r="J264" s="172">
        <v>3</v>
      </c>
      <c r="K264" s="173" t="e">
        <f t="shared" si="73"/>
        <v>#VALUE!</v>
      </c>
      <c r="L264" s="173" t="e">
        <f t="shared" si="74"/>
        <v>#VALUE!</v>
      </c>
      <c r="M264" s="173" t="e">
        <f t="shared" si="75"/>
        <v>#VALUE!</v>
      </c>
      <c r="N264" s="174"/>
      <c r="O264" s="175"/>
      <c r="Q264" s="177"/>
      <c r="R264" s="175"/>
      <c r="S264" s="177"/>
      <c r="T264" s="174"/>
    </row>
    <row r="265" spans="1:20" s="176" customFormat="1" ht="15.75" x14ac:dyDescent="0.2">
      <c r="A265" s="168"/>
      <c r="B265" s="168"/>
      <c r="C265" s="168" t="s">
        <v>87</v>
      </c>
      <c r="D265" s="169" t="s">
        <v>208</v>
      </c>
      <c r="E265" s="170"/>
      <c r="F265" s="170" t="s">
        <v>312</v>
      </c>
      <c r="G265" s="171" t="str">
        <f>K66</f>
        <v/>
      </c>
      <c r="H265" s="171" t="e">
        <f t="shared" si="85"/>
        <v>#VALUE!</v>
      </c>
      <c r="I265" s="171"/>
      <c r="J265" s="172">
        <v>10</v>
      </c>
      <c r="K265" s="173" t="e">
        <f t="shared" si="73"/>
        <v>#VALUE!</v>
      </c>
      <c r="L265" s="173" t="e">
        <f t="shared" si="74"/>
        <v>#VALUE!</v>
      </c>
      <c r="M265" s="173" t="e">
        <f t="shared" si="75"/>
        <v>#VALUE!</v>
      </c>
      <c r="N265" s="174"/>
      <c r="O265" s="175"/>
      <c r="Q265" s="177"/>
      <c r="R265" s="175"/>
      <c r="S265" s="177"/>
      <c r="T265" s="174"/>
    </row>
    <row r="266" spans="1:20" s="176" customFormat="1" ht="15.75" x14ac:dyDescent="0.2">
      <c r="A266" s="168"/>
      <c r="B266" s="168"/>
      <c r="C266" s="168" t="s">
        <v>87</v>
      </c>
      <c r="D266" s="169" t="s">
        <v>209</v>
      </c>
      <c r="E266" s="170"/>
      <c r="F266" s="170" t="s">
        <v>311</v>
      </c>
      <c r="G266" s="171" t="e">
        <f>K66+30</f>
        <v>#VALUE!</v>
      </c>
      <c r="H266" s="171" t="e">
        <f t="shared" si="85"/>
        <v>#VALUE!</v>
      </c>
      <c r="I266" s="171"/>
      <c r="J266" s="172">
        <v>1</v>
      </c>
      <c r="K266" s="173" t="e">
        <f t="shared" si="73"/>
        <v>#VALUE!</v>
      </c>
      <c r="L266" s="173" t="e">
        <f t="shared" si="74"/>
        <v>#VALUE!</v>
      </c>
      <c r="M266" s="173" t="e">
        <f t="shared" si="75"/>
        <v>#VALUE!</v>
      </c>
      <c r="N266" s="174"/>
      <c r="O266" s="175"/>
      <c r="Q266" s="177"/>
      <c r="R266" s="175"/>
      <c r="S266" s="177"/>
      <c r="T266" s="174"/>
    </row>
    <row r="267" spans="1:20" s="176" customFormat="1" ht="15.75" x14ac:dyDescent="0.2">
      <c r="A267" s="168"/>
      <c r="B267" s="168"/>
      <c r="C267" s="168" t="s">
        <v>87</v>
      </c>
      <c r="D267" s="169" t="s">
        <v>210</v>
      </c>
      <c r="E267" s="170"/>
      <c r="F267" s="170" t="s">
        <v>312</v>
      </c>
      <c r="G267" s="171" t="str">
        <f>K66</f>
        <v/>
      </c>
      <c r="H267" s="171" t="e">
        <f t="shared" si="85"/>
        <v>#VALUE!</v>
      </c>
      <c r="I267" s="171"/>
      <c r="J267" s="172">
        <v>15</v>
      </c>
      <c r="K267" s="173" t="e">
        <f t="shared" si="73"/>
        <v>#VALUE!</v>
      </c>
      <c r="L267" s="173" t="e">
        <f t="shared" si="74"/>
        <v>#VALUE!</v>
      </c>
      <c r="M267" s="173" t="e">
        <f t="shared" si="75"/>
        <v>#VALUE!</v>
      </c>
      <c r="N267" s="174"/>
      <c r="O267" s="175"/>
      <c r="Q267" s="177"/>
      <c r="R267" s="175"/>
      <c r="S267" s="177"/>
      <c r="T267" s="174"/>
    </row>
    <row r="268" spans="1:20" s="176" customFormat="1" ht="15.75" x14ac:dyDescent="0.2">
      <c r="A268" s="168"/>
      <c r="B268" s="168"/>
      <c r="C268" s="168" t="s">
        <v>87</v>
      </c>
      <c r="D268" s="169" t="s">
        <v>211</v>
      </c>
      <c r="E268" s="170"/>
      <c r="F268" s="170" t="s">
        <v>311</v>
      </c>
      <c r="G268" s="171" t="e">
        <f>K66+30</f>
        <v>#VALUE!</v>
      </c>
      <c r="H268" s="171" t="e">
        <f t="shared" si="85"/>
        <v>#VALUE!</v>
      </c>
      <c r="I268" s="171"/>
      <c r="J268" s="172">
        <v>45</v>
      </c>
      <c r="K268" s="173" t="e">
        <f t="shared" si="73"/>
        <v>#VALUE!</v>
      </c>
      <c r="L268" s="173" t="e">
        <f t="shared" si="74"/>
        <v>#VALUE!</v>
      </c>
      <c r="M268" s="173" t="e">
        <f t="shared" si="75"/>
        <v>#VALUE!</v>
      </c>
      <c r="N268" s="174"/>
      <c r="O268" s="175"/>
      <c r="Q268" s="177"/>
      <c r="R268" s="175"/>
      <c r="S268" s="177"/>
      <c r="T268" s="174"/>
    </row>
    <row r="269" spans="1:20" s="176" customFormat="1" ht="15.75" x14ac:dyDescent="0.2">
      <c r="A269" s="168"/>
      <c r="B269" s="168"/>
      <c r="C269" s="168" t="s">
        <v>87</v>
      </c>
      <c r="D269" s="169" t="s">
        <v>212</v>
      </c>
      <c r="E269" s="170"/>
      <c r="F269" s="170" t="s">
        <v>121</v>
      </c>
      <c r="G269" s="171" t="e">
        <f>K66+91</f>
        <v>#VALUE!</v>
      </c>
      <c r="H269" s="171" t="e">
        <f t="shared" si="85"/>
        <v>#VALUE!</v>
      </c>
      <c r="I269" s="171"/>
      <c r="J269" s="172">
        <v>30</v>
      </c>
      <c r="K269" s="173" t="e">
        <f t="shared" si="73"/>
        <v>#VALUE!</v>
      </c>
      <c r="L269" s="173" t="e">
        <f t="shared" si="74"/>
        <v>#VALUE!</v>
      </c>
      <c r="M269" s="173" t="e">
        <f t="shared" si="75"/>
        <v>#VALUE!</v>
      </c>
      <c r="N269" s="174"/>
      <c r="O269" s="175"/>
      <c r="Q269" s="177"/>
      <c r="R269" s="175"/>
      <c r="S269" s="177"/>
      <c r="T269" s="174"/>
    </row>
    <row r="270" spans="1:20" s="176" customFormat="1" ht="15.75" x14ac:dyDescent="0.2">
      <c r="A270" s="168"/>
      <c r="B270" s="168"/>
      <c r="C270" s="168" t="s">
        <v>87</v>
      </c>
      <c r="D270" s="169" t="s">
        <v>213</v>
      </c>
      <c r="E270" s="170"/>
      <c r="F270" s="170" t="s">
        <v>121</v>
      </c>
      <c r="G270" s="171" t="e">
        <f>K66+91</f>
        <v>#VALUE!</v>
      </c>
      <c r="H270" s="171" t="e">
        <f t="shared" si="85"/>
        <v>#VALUE!</v>
      </c>
      <c r="I270" s="171"/>
      <c r="J270" s="172">
        <v>30</v>
      </c>
      <c r="K270" s="173" t="e">
        <f t="shared" si="73"/>
        <v>#VALUE!</v>
      </c>
      <c r="L270" s="173" t="e">
        <f t="shared" si="74"/>
        <v>#VALUE!</v>
      </c>
      <c r="M270" s="173" t="e">
        <f t="shared" si="75"/>
        <v>#VALUE!</v>
      </c>
      <c r="N270" s="174"/>
      <c r="O270" s="175"/>
      <c r="Q270" s="177"/>
      <c r="R270" s="175"/>
      <c r="S270" s="177"/>
      <c r="T270" s="174"/>
    </row>
    <row r="271" spans="1:20" s="176" customFormat="1" ht="15.75" x14ac:dyDescent="0.2">
      <c r="A271" s="168"/>
      <c r="B271" s="168"/>
      <c r="C271" s="168" t="s">
        <v>87</v>
      </c>
      <c r="D271" s="169" t="s">
        <v>214</v>
      </c>
      <c r="E271" s="170"/>
      <c r="F271" s="170" t="s">
        <v>121</v>
      </c>
      <c r="G271" s="171" t="e">
        <f>K66+91</f>
        <v>#VALUE!</v>
      </c>
      <c r="H271" s="171" t="e">
        <f t="shared" si="85"/>
        <v>#VALUE!</v>
      </c>
      <c r="I271" s="171"/>
      <c r="J271" s="172">
        <v>60</v>
      </c>
      <c r="K271" s="173" t="e">
        <f t="shared" si="73"/>
        <v>#VALUE!</v>
      </c>
      <c r="L271" s="173" t="e">
        <f t="shared" si="74"/>
        <v>#VALUE!</v>
      </c>
      <c r="M271" s="173" t="e">
        <f t="shared" si="75"/>
        <v>#VALUE!</v>
      </c>
      <c r="N271" s="174"/>
      <c r="O271" s="175"/>
      <c r="Q271" s="177"/>
      <c r="R271" s="175"/>
      <c r="S271" s="177"/>
      <c r="T271" s="174"/>
    </row>
    <row r="272" spans="1:20" s="19" customFormat="1" ht="15.75" x14ac:dyDescent="0.2">
      <c r="A272" s="112"/>
      <c r="B272" s="93"/>
      <c r="C272" s="93" t="s">
        <v>87</v>
      </c>
      <c r="D272" s="94" t="s">
        <v>458</v>
      </c>
      <c r="E272" s="95"/>
      <c r="F272" s="95" t="s">
        <v>121</v>
      </c>
      <c r="G272" s="96" t="e">
        <f>#REF!+91</f>
        <v>#REF!</v>
      </c>
      <c r="H272" s="96" t="e">
        <f>G272+J272</f>
        <v>#REF!</v>
      </c>
      <c r="I272" s="97"/>
      <c r="J272" s="98">
        <v>150</v>
      </c>
      <c r="K272" s="99" t="e">
        <f t="shared" ref="K272" si="86">IF(H272=0,"",IF(H272&lt;=$K$7, "X", ""))</f>
        <v>#REF!</v>
      </c>
      <c r="L272" s="99" t="e">
        <f t="shared" ref="L272" si="87">IF(H272&lt;$K$7, "",IF(H272&lt;=$L$7,"X", ""))</f>
        <v>#REF!</v>
      </c>
      <c r="M272" s="99" t="e">
        <f t="shared" ref="M272" si="88">IF(H272&lt;$L$7, "",IF(H272&gt;$L$7,"X", ""))</f>
        <v>#REF!</v>
      </c>
      <c r="N272" s="95"/>
      <c r="O272" s="100"/>
      <c r="P272" s="103"/>
      <c r="Q272" s="101"/>
      <c r="R272" s="101"/>
      <c r="S272" s="102"/>
      <c r="T272" s="95"/>
    </row>
    <row r="273" spans="1:20" s="19" customFormat="1" ht="15.75" x14ac:dyDescent="0.2">
      <c r="A273" s="29"/>
      <c r="B273" s="29"/>
      <c r="C273" s="29" t="s">
        <v>87</v>
      </c>
      <c r="D273" s="32" t="s">
        <v>308</v>
      </c>
      <c r="E273" s="30"/>
      <c r="F273" s="30" t="s">
        <v>121</v>
      </c>
      <c r="G273" s="31" t="e">
        <f>#REF!+91</f>
        <v>#REF!</v>
      </c>
      <c r="H273" s="116" t="e">
        <f t="shared" si="85"/>
        <v>#REF!</v>
      </c>
      <c r="I273" s="31"/>
      <c r="J273" s="118">
        <v>90</v>
      </c>
      <c r="K273" s="117" t="e">
        <f t="shared" ref="K273:K276" si="89">IF(H273=0,"",IF(H273&lt;=$K$7, "X", ""))</f>
        <v>#REF!</v>
      </c>
      <c r="L273" s="117" t="e">
        <f t="shared" ref="L273:L276" si="90">IF(H273&lt;$K$7, "",IF(H273&lt;=$L$7,"X", ""))</f>
        <v>#REF!</v>
      </c>
      <c r="M273" s="117" t="e">
        <f t="shared" ref="M273:M276" si="91">IF(H273&lt;$L$7, "",IF(H273&gt;$L$7,"X", ""))</f>
        <v>#REF!</v>
      </c>
      <c r="N273" s="47"/>
      <c r="O273" s="22"/>
      <c r="P273" s="18"/>
      <c r="Q273" s="27"/>
      <c r="R273" s="22"/>
      <c r="S273" s="27"/>
      <c r="T273" s="47"/>
    </row>
    <row r="274" spans="1:20" s="19" customFormat="1" ht="15.75" x14ac:dyDescent="0.2">
      <c r="A274" s="29"/>
      <c r="B274" s="29"/>
      <c r="C274" s="29" t="s">
        <v>87</v>
      </c>
      <c r="D274" s="32" t="s">
        <v>309</v>
      </c>
      <c r="E274" s="30"/>
      <c r="F274" s="30" t="s">
        <v>120</v>
      </c>
      <c r="G274" s="31" t="e">
        <f>#REF!</f>
        <v>#REF!</v>
      </c>
      <c r="H274" s="116" t="e">
        <f t="shared" si="85"/>
        <v>#REF!</v>
      </c>
      <c r="I274" s="31"/>
      <c r="J274" s="118">
        <v>5</v>
      </c>
      <c r="K274" s="117" t="e">
        <f t="shared" si="89"/>
        <v>#REF!</v>
      </c>
      <c r="L274" s="117" t="e">
        <f t="shared" si="90"/>
        <v>#REF!</v>
      </c>
      <c r="M274" s="117" t="e">
        <f t="shared" si="91"/>
        <v>#REF!</v>
      </c>
      <c r="N274" s="47"/>
      <c r="O274" s="22"/>
      <c r="P274" s="18"/>
      <c r="Q274" s="27"/>
      <c r="R274" s="22"/>
      <c r="S274" s="27"/>
      <c r="T274" s="47"/>
    </row>
    <row r="275" spans="1:20" s="19" customFormat="1" ht="15.75" x14ac:dyDescent="0.2">
      <c r="A275" s="29"/>
      <c r="B275" s="29"/>
      <c r="C275" s="29" t="s">
        <v>87</v>
      </c>
      <c r="D275" s="32" t="s">
        <v>310</v>
      </c>
      <c r="E275" s="30"/>
      <c r="F275" s="30" t="s">
        <v>313</v>
      </c>
      <c r="G275" s="31" t="e">
        <f>#REF!+60</f>
        <v>#REF!</v>
      </c>
      <c r="H275" s="116" t="e">
        <f t="shared" si="85"/>
        <v>#REF!</v>
      </c>
      <c r="I275" s="31"/>
      <c r="J275" s="118">
        <v>10</v>
      </c>
      <c r="K275" s="117" t="e">
        <f t="shared" si="89"/>
        <v>#REF!</v>
      </c>
      <c r="L275" s="117" t="e">
        <f t="shared" si="90"/>
        <v>#REF!</v>
      </c>
      <c r="M275" s="117" t="e">
        <f t="shared" si="91"/>
        <v>#REF!</v>
      </c>
      <c r="N275" s="47"/>
      <c r="O275" s="22"/>
      <c r="P275" s="18"/>
      <c r="Q275" s="27"/>
      <c r="R275" s="22"/>
      <c r="S275" s="27"/>
      <c r="T275" s="47"/>
    </row>
    <row r="276" spans="1:20" s="19" customFormat="1" ht="15.75" x14ac:dyDescent="0.2">
      <c r="A276" s="29"/>
      <c r="B276" s="29"/>
      <c r="C276" s="29" t="s">
        <v>87</v>
      </c>
      <c r="D276" s="32" t="s">
        <v>292</v>
      </c>
      <c r="E276" s="30"/>
      <c r="F276" s="30" t="s">
        <v>121</v>
      </c>
      <c r="G276" s="31" t="e">
        <f>#REF!+91</f>
        <v>#REF!</v>
      </c>
      <c r="H276" s="116" t="e">
        <f t="shared" si="85"/>
        <v>#REF!</v>
      </c>
      <c r="I276" s="31"/>
      <c r="J276" s="118">
        <v>60</v>
      </c>
      <c r="K276" s="117" t="e">
        <f t="shared" si="89"/>
        <v>#REF!</v>
      </c>
      <c r="L276" s="117" t="e">
        <f t="shared" si="90"/>
        <v>#REF!</v>
      </c>
      <c r="M276" s="117" t="e">
        <f t="shared" si="91"/>
        <v>#REF!</v>
      </c>
      <c r="N276" s="47"/>
      <c r="O276" s="22"/>
      <c r="P276" s="18"/>
      <c r="Q276" s="27"/>
      <c r="R276" s="22"/>
      <c r="S276" s="27"/>
      <c r="T276" s="47"/>
    </row>
    <row r="277" spans="1:20" s="19" customFormat="1" ht="15.75" x14ac:dyDescent="0.2">
      <c r="A277" s="155"/>
      <c r="B277" s="156"/>
      <c r="C277" s="156" t="s">
        <v>87</v>
      </c>
      <c r="D277" s="157" t="s">
        <v>421</v>
      </c>
      <c r="E277" s="158"/>
      <c r="F277" s="158" t="s">
        <v>312</v>
      </c>
      <c r="G277" s="159">
        <f>K7</f>
        <v>41153</v>
      </c>
      <c r="H277" s="159">
        <f>G277+J277</f>
        <v>41331</v>
      </c>
      <c r="I277" s="160"/>
      <c r="J277" s="161">
        <v>178</v>
      </c>
      <c r="K277" s="162" t="str">
        <f t="shared" si="73"/>
        <v/>
      </c>
      <c r="L277" s="162" t="str">
        <f t="shared" si="74"/>
        <v/>
      </c>
      <c r="M277" s="162" t="str">
        <f t="shared" si="75"/>
        <v>X</v>
      </c>
      <c r="N277" s="158"/>
      <c r="O277" s="163"/>
      <c r="P277" s="103"/>
      <c r="Q277" s="164"/>
      <c r="R277" s="164"/>
      <c r="S277" s="165"/>
      <c r="T277" s="158"/>
    </row>
    <row r="278" spans="1:20" s="19" customFormat="1" ht="15.75" x14ac:dyDescent="0.2">
      <c r="A278" s="112"/>
      <c r="B278" s="93"/>
      <c r="C278" s="93"/>
      <c r="D278" s="94" t="s">
        <v>424</v>
      </c>
      <c r="E278" s="95"/>
      <c r="F278" s="95"/>
      <c r="G278" s="96"/>
      <c r="H278" s="96"/>
      <c r="I278" s="97"/>
      <c r="J278" s="98"/>
      <c r="K278" s="99"/>
      <c r="L278" s="99"/>
      <c r="M278" s="99"/>
      <c r="N278" s="95"/>
      <c r="O278" s="100"/>
      <c r="P278" s="103"/>
      <c r="Q278" s="101"/>
      <c r="R278" s="101"/>
      <c r="S278" s="102"/>
      <c r="T278" s="95"/>
    </row>
    <row r="279" spans="1:20" s="19" customFormat="1" ht="15.75" x14ac:dyDescent="0.2">
      <c r="A279" s="29"/>
      <c r="B279" s="29"/>
      <c r="C279" s="27"/>
      <c r="D279" s="166" t="s">
        <v>425</v>
      </c>
      <c r="E279" s="30"/>
      <c r="F279" s="30"/>
      <c r="G279" s="31"/>
      <c r="H279" s="116"/>
      <c r="I279" s="31"/>
      <c r="J279" s="118"/>
      <c r="K279" s="117"/>
      <c r="L279" s="117"/>
      <c r="M279" s="117"/>
      <c r="N279" s="47"/>
      <c r="O279" s="22"/>
      <c r="P279" s="18"/>
      <c r="Q279" s="27"/>
      <c r="R279" s="22"/>
      <c r="S279" s="27"/>
      <c r="T279" s="47"/>
    </row>
    <row r="280" spans="1:20" s="19" customFormat="1" ht="15.75" x14ac:dyDescent="0.2">
      <c r="A280" s="112"/>
      <c r="B280" s="93"/>
      <c r="C280" s="93"/>
      <c r="D280" s="94" t="s">
        <v>426</v>
      </c>
      <c r="E280" s="95"/>
      <c r="F280" s="95"/>
      <c r="G280" s="96"/>
      <c r="H280" s="96"/>
      <c r="I280" s="97"/>
      <c r="J280" s="98"/>
      <c r="K280" s="99"/>
      <c r="L280" s="99"/>
      <c r="M280" s="99"/>
      <c r="N280" s="95"/>
      <c r="O280" s="100"/>
      <c r="P280" s="103"/>
      <c r="Q280" s="101"/>
      <c r="R280" s="101"/>
      <c r="S280" s="102"/>
      <c r="T280" s="95"/>
    </row>
    <row r="281" spans="1:20" s="19" customFormat="1" ht="31.5" x14ac:dyDescent="0.25">
      <c r="A281" s="29"/>
      <c r="B281" s="29"/>
      <c r="C281" s="27"/>
      <c r="D281" s="167" t="s">
        <v>427</v>
      </c>
      <c r="E281" s="30"/>
      <c r="F281" s="30"/>
      <c r="G281" s="31"/>
      <c r="H281" s="116"/>
      <c r="I281" s="31"/>
      <c r="J281" s="118"/>
      <c r="K281" s="117"/>
      <c r="L281" s="117"/>
      <c r="M281" s="117"/>
      <c r="N281" s="47"/>
      <c r="O281" s="22"/>
      <c r="P281" s="18"/>
      <c r="Q281" s="27"/>
      <c r="R281" s="22"/>
      <c r="S281" s="27"/>
      <c r="T281" s="47"/>
    </row>
    <row r="282" spans="1:20" s="103" customFormat="1" ht="30" x14ac:dyDescent="0.2">
      <c r="A282" s="180"/>
      <c r="B282" s="180"/>
      <c r="C282" s="180" t="s">
        <v>87</v>
      </c>
      <c r="D282" s="181" t="s">
        <v>290</v>
      </c>
      <c r="E282" s="182"/>
      <c r="F282" s="182" t="s">
        <v>311</v>
      </c>
      <c r="G282" s="116" t="e">
        <f>#REF!+30</f>
        <v>#REF!</v>
      </c>
      <c r="H282" s="116" t="e">
        <f t="shared" ref="H282" si="92">G282+J282</f>
        <v>#REF!</v>
      </c>
      <c r="I282" s="116"/>
      <c r="J282" s="183">
        <v>5</v>
      </c>
      <c r="K282" s="184" t="e">
        <f t="shared" ref="K282" si="93">IF(H282=0,"",IF(H282&lt;=$K$7, "X", ""))</f>
        <v>#REF!</v>
      </c>
      <c r="L282" s="184" t="e">
        <f t="shared" ref="L282" si="94">IF(H282&lt;$K$7, "",IF(H282&lt;=$L$7,"X", ""))</f>
        <v>#REF!</v>
      </c>
      <c r="M282" s="184" t="e">
        <f t="shared" ref="M282" si="95">IF(H282&lt;$L$7, "",IF(H282&gt;$L$7,"X", ""))</f>
        <v>#REF!</v>
      </c>
      <c r="N282" s="185"/>
      <c r="O282" s="186"/>
      <c r="Q282" s="147"/>
      <c r="R282" s="186"/>
      <c r="S282" s="147"/>
      <c r="T282" s="185"/>
    </row>
    <row r="283" spans="1:20" s="19" customFormat="1" ht="15.75" x14ac:dyDescent="0.2">
      <c r="A283" s="112"/>
      <c r="B283" s="93"/>
      <c r="C283" s="93" t="s">
        <v>87</v>
      </c>
      <c r="D283" s="94" t="s">
        <v>428</v>
      </c>
      <c r="E283" s="95"/>
      <c r="F283" s="95" t="s">
        <v>121</v>
      </c>
      <c r="G283" s="96">
        <f>K7+91</f>
        <v>41244</v>
      </c>
      <c r="H283" s="96">
        <f>G283+J283</f>
        <v>41334</v>
      </c>
      <c r="I283" s="97"/>
      <c r="J283" s="98">
        <v>90</v>
      </c>
      <c r="K283" s="99" t="str">
        <f t="shared" si="73"/>
        <v/>
      </c>
      <c r="L283" s="99" t="str">
        <f t="shared" si="74"/>
        <v/>
      </c>
      <c r="M283" s="99" t="str">
        <f t="shared" si="75"/>
        <v>X</v>
      </c>
      <c r="N283" s="95"/>
      <c r="O283" s="100"/>
      <c r="P283" s="103"/>
      <c r="Q283" s="101"/>
      <c r="R283" s="101"/>
      <c r="S283" s="102"/>
      <c r="T283" s="95"/>
    </row>
    <row r="284" spans="1:20" s="19" customFormat="1" ht="15.75" x14ac:dyDescent="0.2">
      <c r="A284" s="29"/>
      <c r="B284" s="29"/>
      <c r="C284" s="27" t="s">
        <v>87</v>
      </c>
      <c r="D284" s="32" t="s">
        <v>163</v>
      </c>
      <c r="E284" s="30"/>
      <c r="F284" s="30" t="s">
        <v>311</v>
      </c>
      <c r="G284" s="31">
        <f>K7+30</f>
        <v>41183</v>
      </c>
      <c r="H284" s="116">
        <f t="shared" ref="H284:H290" si="96">G284+J284</f>
        <v>41188</v>
      </c>
      <c r="I284" s="31"/>
      <c r="J284" s="118">
        <v>5</v>
      </c>
      <c r="K284" s="117" t="str">
        <f t="shared" si="73"/>
        <v/>
      </c>
      <c r="L284" s="117" t="str">
        <f t="shared" si="74"/>
        <v>X</v>
      </c>
      <c r="M284" s="117" t="str">
        <f t="shared" si="75"/>
        <v/>
      </c>
      <c r="N284" s="47"/>
      <c r="O284" s="22"/>
      <c r="P284" s="18"/>
      <c r="Q284" s="27"/>
      <c r="R284" s="22"/>
      <c r="S284" s="27"/>
      <c r="T284" s="47"/>
    </row>
    <row r="285" spans="1:20" s="19" customFormat="1" ht="30" x14ac:dyDescent="0.2">
      <c r="A285" s="29"/>
      <c r="B285" s="29"/>
      <c r="C285" s="27" t="s">
        <v>87</v>
      </c>
      <c r="D285" s="32" t="s">
        <v>164</v>
      </c>
      <c r="E285" s="30"/>
      <c r="F285" s="30" t="s">
        <v>311</v>
      </c>
      <c r="G285" s="31">
        <f>K7+30</f>
        <v>41183</v>
      </c>
      <c r="H285" s="116">
        <f t="shared" si="96"/>
        <v>41188</v>
      </c>
      <c r="I285" s="31"/>
      <c r="J285" s="118">
        <v>5</v>
      </c>
      <c r="K285" s="117" t="str">
        <f t="shared" si="73"/>
        <v/>
      </c>
      <c r="L285" s="117" t="str">
        <f t="shared" si="74"/>
        <v>X</v>
      </c>
      <c r="M285" s="117" t="str">
        <f t="shared" si="75"/>
        <v/>
      </c>
      <c r="N285" s="47"/>
      <c r="O285" s="22"/>
      <c r="P285" s="18"/>
      <c r="Q285" s="27"/>
      <c r="R285" s="22"/>
      <c r="S285" s="27"/>
      <c r="T285" s="47"/>
    </row>
    <row r="286" spans="1:20" s="19" customFormat="1" ht="15.75" x14ac:dyDescent="0.2">
      <c r="A286" s="29"/>
      <c r="B286" s="29"/>
      <c r="C286" s="27" t="s">
        <v>87</v>
      </c>
      <c r="D286" s="32" t="s">
        <v>165</v>
      </c>
      <c r="E286" s="30"/>
      <c r="F286" s="30" t="s">
        <v>311</v>
      </c>
      <c r="G286" s="31">
        <f>K7+30</f>
        <v>41183</v>
      </c>
      <c r="H286" s="116">
        <f t="shared" si="96"/>
        <v>41213</v>
      </c>
      <c r="I286" s="31"/>
      <c r="J286" s="118">
        <v>30</v>
      </c>
      <c r="K286" s="117" t="str">
        <f t="shared" si="73"/>
        <v/>
      </c>
      <c r="L286" s="117" t="str">
        <f t="shared" si="74"/>
        <v>X</v>
      </c>
      <c r="M286" s="117" t="str">
        <f t="shared" si="75"/>
        <v/>
      </c>
      <c r="N286" s="47"/>
      <c r="O286" s="22"/>
      <c r="P286" s="18"/>
      <c r="Q286" s="27"/>
      <c r="R286" s="22"/>
      <c r="S286" s="27"/>
      <c r="T286" s="47"/>
    </row>
    <row r="287" spans="1:20" s="19" customFormat="1" ht="30" x14ac:dyDescent="0.2">
      <c r="A287" s="29"/>
      <c r="B287" s="29"/>
      <c r="C287" s="27" t="s">
        <v>87</v>
      </c>
      <c r="D287" s="32" t="s">
        <v>166</v>
      </c>
      <c r="E287" s="30"/>
      <c r="F287" s="30" t="s">
        <v>314</v>
      </c>
      <c r="G287" s="31">
        <f>K7+90</f>
        <v>41243</v>
      </c>
      <c r="H287" s="116">
        <f t="shared" si="96"/>
        <v>41253</v>
      </c>
      <c r="I287" s="31"/>
      <c r="J287" s="118">
        <v>10</v>
      </c>
      <c r="K287" s="117" t="str">
        <f t="shared" si="73"/>
        <v/>
      </c>
      <c r="L287" s="117" t="str">
        <f t="shared" si="74"/>
        <v/>
      </c>
      <c r="M287" s="117" t="str">
        <f t="shared" si="75"/>
        <v>X</v>
      </c>
      <c r="N287" s="47"/>
      <c r="O287" s="22"/>
      <c r="P287" s="18"/>
      <c r="Q287" s="27"/>
      <c r="R287" s="22"/>
      <c r="S287" s="27"/>
      <c r="T287" s="47"/>
    </row>
    <row r="288" spans="1:20" s="19" customFormat="1" ht="15.75" x14ac:dyDescent="0.2">
      <c r="A288" s="29"/>
      <c r="B288" s="29"/>
      <c r="C288" s="27" t="s">
        <v>87</v>
      </c>
      <c r="D288" s="32" t="s">
        <v>167</v>
      </c>
      <c r="E288" s="30"/>
      <c r="F288" s="30" t="s">
        <v>314</v>
      </c>
      <c r="G288" s="31">
        <f>K7+90</f>
        <v>41243</v>
      </c>
      <c r="H288" s="116">
        <f t="shared" si="96"/>
        <v>41248</v>
      </c>
      <c r="I288" s="31"/>
      <c r="J288" s="118">
        <v>5</v>
      </c>
      <c r="K288" s="117" t="str">
        <f t="shared" si="73"/>
        <v/>
      </c>
      <c r="L288" s="117" t="str">
        <f t="shared" si="74"/>
        <v/>
      </c>
      <c r="M288" s="117" t="str">
        <f t="shared" si="75"/>
        <v>X</v>
      </c>
      <c r="N288" s="47"/>
      <c r="O288" s="22"/>
      <c r="P288" s="18"/>
      <c r="Q288" s="27"/>
      <c r="R288" s="22"/>
      <c r="S288" s="27"/>
      <c r="T288" s="47"/>
    </row>
    <row r="289" spans="1:20" s="19" customFormat="1" ht="30" x14ac:dyDescent="0.2">
      <c r="A289" s="29"/>
      <c r="B289" s="29"/>
      <c r="C289" s="27" t="s">
        <v>87</v>
      </c>
      <c r="D289" s="32" t="s">
        <v>168</v>
      </c>
      <c r="E289" s="30"/>
      <c r="F289" s="30" t="s">
        <v>121</v>
      </c>
      <c r="G289" s="31">
        <f>K7+91</f>
        <v>41244</v>
      </c>
      <c r="H289" s="116">
        <f t="shared" si="96"/>
        <v>41254</v>
      </c>
      <c r="I289" s="31"/>
      <c r="J289" s="118">
        <v>10</v>
      </c>
      <c r="K289" s="117" t="str">
        <f t="shared" si="73"/>
        <v/>
      </c>
      <c r="L289" s="117" t="str">
        <f t="shared" si="74"/>
        <v/>
      </c>
      <c r="M289" s="117" t="str">
        <f t="shared" si="75"/>
        <v>X</v>
      </c>
      <c r="N289" s="47"/>
      <c r="O289" s="22"/>
      <c r="P289" s="18"/>
      <c r="Q289" s="27"/>
      <c r="R289" s="22"/>
      <c r="S289" s="27"/>
      <c r="T289" s="47"/>
    </row>
    <row r="290" spans="1:20" s="19" customFormat="1" ht="30" x14ac:dyDescent="0.2">
      <c r="A290" s="29"/>
      <c r="B290" s="29"/>
      <c r="C290" s="27" t="s">
        <v>87</v>
      </c>
      <c r="D290" s="32" t="s">
        <v>169</v>
      </c>
      <c r="E290" s="30"/>
      <c r="F290" s="30" t="s">
        <v>314</v>
      </c>
      <c r="G290" s="31">
        <f>K7+90</f>
        <v>41243</v>
      </c>
      <c r="H290" s="116">
        <f t="shared" si="96"/>
        <v>41333</v>
      </c>
      <c r="I290" s="31"/>
      <c r="J290" s="118">
        <v>90</v>
      </c>
      <c r="K290" s="117" t="str">
        <f t="shared" si="73"/>
        <v/>
      </c>
      <c r="L290" s="117" t="str">
        <f t="shared" si="74"/>
        <v/>
      </c>
      <c r="M290" s="117" t="str">
        <f t="shared" si="75"/>
        <v>X</v>
      </c>
      <c r="N290" s="47"/>
      <c r="O290" s="22"/>
      <c r="P290" s="18"/>
      <c r="Q290" s="27"/>
      <c r="R290" s="22"/>
      <c r="S290" s="27"/>
      <c r="T290" s="47"/>
    </row>
    <row r="291" spans="1:20" s="19" customFormat="1" ht="15.75" x14ac:dyDescent="0.2">
      <c r="A291" s="155"/>
      <c r="B291" s="156"/>
      <c r="C291" s="156" t="s">
        <v>87</v>
      </c>
      <c r="D291" s="157" t="s">
        <v>422</v>
      </c>
      <c r="E291" s="158"/>
      <c r="F291" s="158" t="s">
        <v>312</v>
      </c>
      <c r="G291" s="159">
        <f>K7</f>
        <v>41153</v>
      </c>
      <c r="H291" s="159">
        <f>G291+J291</f>
        <v>41331</v>
      </c>
      <c r="I291" s="160"/>
      <c r="J291" s="161">
        <v>178</v>
      </c>
      <c r="K291" s="162" t="str">
        <f t="shared" ref="K291" si="97">IF(H291=0,"",IF(H291&lt;=$K$7, "X", ""))</f>
        <v/>
      </c>
      <c r="L291" s="162" t="str">
        <f t="shared" ref="L291" si="98">IF(H291&lt;$K$7, "",IF(H291&lt;=$L$7,"X", ""))</f>
        <v/>
      </c>
      <c r="M291" s="162" t="str">
        <f t="shared" ref="M291" si="99">IF(H291&lt;$L$7, "",IF(H291&gt;$L$7,"X", ""))</f>
        <v>X</v>
      </c>
      <c r="N291" s="158"/>
      <c r="O291" s="163"/>
      <c r="P291" s="103"/>
      <c r="Q291" s="164"/>
      <c r="R291" s="164"/>
      <c r="S291" s="165"/>
      <c r="T291" s="158"/>
    </row>
    <row r="292" spans="1:20" s="19" customFormat="1" ht="15.75" x14ac:dyDescent="0.2">
      <c r="A292" s="112"/>
      <c r="B292" s="93"/>
      <c r="C292" s="93" t="s">
        <v>87</v>
      </c>
      <c r="D292" s="94" t="s">
        <v>83</v>
      </c>
      <c r="E292" s="95"/>
      <c r="F292" s="95" t="s">
        <v>121</v>
      </c>
      <c r="G292" s="96">
        <f>K7+91</f>
        <v>41244</v>
      </c>
      <c r="H292" s="96">
        <f>G292+J292</f>
        <v>41364</v>
      </c>
      <c r="I292" s="97"/>
      <c r="J292" s="98">
        <v>120</v>
      </c>
      <c r="K292" s="99" t="str">
        <f t="shared" si="73"/>
        <v/>
      </c>
      <c r="L292" s="99" t="str">
        <f t="shared" si="74"/>
        <v/>
      </c>
      <c r="M292" s="99" t="str">
        <f t="shared" si="75"/>
        <v>X</v>
      </c>
      <c r="N292" s="95"/>
      <c r="O292" s="100"/>
      <c r="P292" s="103"/>
      <c r="Q292" s="101"/>
      <c r="R292" s="101"/>
      <c r="S292" s="102"/>
      <c r="T292" s="95"/>
    </row>
    <row r="293" spans="1:20" s="19" customFormat="1" ht="15.75" x14ac:dyDescent="0.2">
      <c r="A293" s="29"/>
      <c r="B293" s="29"/>
      <c r="C293" s="29" t="s">
        <v>87</v>
      </c>
      <c r="D293" s="32" t="s">
        <v>261</v>
      </c>
      <c r="E293" s="30"/>
      <c r="F293" s="30" t="s">
        <v>120</v>
      </c>
      <c r="G293" s="31">
        <f>K7</f>
        <v>41153</v>
      </c>
      <c r="H293" s="116">
        <f t="shared" ref="H293:H304" si="100">G293+J293</f>
        <v>41163</v>
      </c>
      <c r="I293" s="31"/>
      <c r="J293" s="118">
        <v>10</v>
      </c>
      <c r="K293" s="117" t="str">
        <f t="shared" si="73"/>
        <v/>
      </c>
      <c r="L293" s="117" t="str">
        <f t="shared" si="74"/>
        <v>X</v>
      </c>
      <c r="M293" s="117" t="str">
        <f t="shared" si="75"/>
        <v/>
      </c>
      <c r="N293" s="47"/>
      <c r="O293" s="22"/>
      <c r="P293" s="18"/>
      <c r="Q293" s="27"/>
      <c r="R293" s="22"/>
      <c r="S293" s="27"/>
      <c r="T293" s="47"/>
    </row>
    <row r="294" spans="1:20" s="19" customFormat="1" ht="15.75" x14ac:dyDescent="0.2">
      <c r="A294" s="29"/>
      <c r="B294" s="29"/>
      <c r="C294" s="29" t="s">
        <v>87</v>
      </c>
      <c r="D294" s="32" t="s">
        <v>262</v>
      </c>
      <c r="E294" s="30"/>
      <c r="F294" s="30" t="s">
        <v>120</v>
      </c>
      <c r="G294" s="31">
        <f>K7</f>
        <v>41153</v>
      </c>
      <c r="H294" s="116">
        <f t="shared" si="100"/>
        <v>41154</v>
      </c>
      <c r="I294" s="31"/>
      <c r="J294" s="118">
        <v>1</v>
      </c>
      <c r="K294" s="117" t="str">
        <f t="shared" si="73"/>
        <v/>
      </c>
      <c r="L294" s="117" t="str">
        <f t="shared" si="74"/>
        <v>X</v>
      </c>
      <c r="M294" s="117" t="str">
        <f t="shared" si="75"/>
        <v/>
      </c>
      <c r="N294" s="47"/>
      <c r="O294" s="22"/>
      <c r="P294" s="18"/>
      <c r="Q294" s="27"/>
      <c r="R294" s="22"/>
      <c r="S294" s="27"/>
      <c r="T294" s="47"/>
    </row>
    <row r="295" spans="1:20" s="19" customFormat="1" ht="15.75" x14ac:dyDescent="0.2">
      <c r="A295" s="29"/>
      <c r="B295" s="29"/>
      <c r="C295" s="29" t="s">
        <v>87</v>
      </c>
      <c r="D295" s="32" t="s">
        <v>263</v>
      </c>
      <c r="E295" s="30"/>
      <c r="F295" s="30" t="s">
        <v>120</v>
      </c>
      <c r="G295" s="31">
        <f>K7</f>
        <v>41153</v>
      </c>
      <c r="H295" s="116">
        <f t="shared" si="100"/>
        <v>41163</v>
      </c>
      <c r="I295" s="31"/>
      <c r="J295" s="118">
        <v>10</v>
      </c>
      <c r="K295" s="117" t="str">
        <f t="shared" si="73"/>
        <v/>
      </c>
      <c r="L295" s="117" t="str">
        <f t="shared" si="74"/>
        <v>X</v>
      </c>
      <c r="M295" s="117" t="str">
        <f t="shared" si="75"/>
        <v/>
      </c>
      <c r="N295" s="47"/>
      <c r="O295" s="22"/>
      <c r="P295" s="18"/>
      <c r="Q295" s="27"/>
      <c r="R295" s="22"/>
      <c r="S295" s="27"/>
      <c r="T295" s="47"/>
    </row>
    <row r="296" spans="1:20" s="19" customFormat="1" ht="15.75" x14ac:dyDescent="0.2">
      <c r="A296" s="29"/>
      <c r="B296" s="29"/>
      <c r="C296" s="29" t="s">
        <v>87</v>
      </c>
      <c r="D296" s="32" t="s">
        <v>264</v>
      </c>
      <c r="E296" s="30"/>
      <c r="F296" s="30" t="s">
        <v>120</v>
      </c>
      <c r="G296" s="31">
        <f>K7</f>
        <v>41153</v>
      </c>
      <c r="H296" s="116">
        <f t="shared" si="100"/>
        <v>41163</v>
      </c>
      <c r="I296" s="31"/>
      <c r="J296" s="118">
        <v>10</v>
      </c>
      <c r="K296" s="117" t="str">
        <f t="shared" si="73"/>
        <v/>
      </c>
      <c r="L296" s="117" t="str">
        <f t="shared" si="74"/>
        <v>X</v>
      </c>
      <c r="M296" s="117" t="str">
        <f t="shared" si="75"/>
        <v/>
      </c>
      <c r="N296" s="47"/>
      <c r="O296" s="22"/>
      <c r="P296" s="18"/>
      <c r="Q296" s="27"/>
      <c r="R296" s="22"/>
      <c r="S296" s="27"/>
      <c r="T296" s="47"/>
    </row>
    <row r="297" spans="1:20" s="19" customFormat="1" ht="15.75" x14ac:dyDescent="0.2">
      <c r="A297" s="29"/>
      <c r="B297" s="29"/>
      <c r="C297" s="29" t="s">
        <v>87</v>
      </c>
      <c r="D297" s="32" t="s">
        <v>265</v>
      </c>
      <c r="E297" s="30"/>
      <c r="F297" s="30" t="s">
        <v>120</v>
      </c>
      <c r="G297" s="31">
        <f>K7</f>
        <v>41153</v>
      </c>
      <c r="H297" s="116">
        <f t="shared" si="100"/>
        <v>41154</v>
      </c>
      <c r="I297" s="31"/>
      <c r="J297" s="118">
        <v>1</v>
      </c>
      <c r="K297" s="117" t="str">
        <f t="shared" si="73"/>
        <v/>
      </c>
      <c r="L297" s="117" t="str">
        <f t="shared" si="74"/>
        <v>X</v>
      </c>
      <c r="M297" s="117" t="str">
        <f t="shared" si="75"/>
        <v/>
      </c>
      <c r="N297" s="47"/>
      <c r="O297" s="22"/>
      <c r="P297" s="18"/>
      <c r="Q297" s="27"/>
      <c r="R297" s="22"/>
      <c r="S297" s="27"/>
      <c r="T297" s="47"/>
    </row>
    <row r="298" spans="1:20" s="19" customFormat="1" ht="15.75" x14ac:dyDescent="0.2">
      <c r="A298" s="29"/>
      <c r="B298" s="29"/>
      <c r="C298" s="29" t="s">
        <v>87</v>
      </c>
      <c r="D298" s="32" t="s">
        <v>266</v>
      </c>
      <c r="E298" s="30"/>
      <c r="F298" s="30" t="s">
        <v>312</v>
      </c>
      <c r="G298" s="31">
        <f>K7</f>
        <v>41153</v>
      </c>
      <c r="H298" s="116">
        <f t="shared" si="100"/>
        <v>41168</v>
      </c>
      <c r="I298" s="31"/>
      <c r="J298" s="118">
        <v>15</v>
      </c>
      <c r="K298" s="117" t="str">
        <f t="shared" si="73"/>
        <v/>
      </c>
      <c r="L298" s="117" t="str">
        <f t="shared" si="74"/>
        <v>X</v>
      </c>
      <c r="M298" s="117" t="str">
        <f t="shared" si="75"/>
        <v/>
      </c>
      <c r="N298" s="47"/>
      <c r="O298" s="22"/>
      <c r="P298" s="18"/>
      <c r="Q298" s="27"/>
      <c r="R298" s="22"/>
      <c r="S298" s="27"/>
      <c r="T298" s="47"/>
    </row>
    <row r="299" spans="1:20" s="19" customFormat="1" ht="15.75" x14ac:dyDescent="0.2">
      <c r="A299" s="29"/>
      <c r="B299" s="29"/>
      <c r="C299" s="29" t="s">
        <v>87</v>
      </c>
      <c r="D299" s="32" t="s">
        <v>267</v>
      </c>
      <c r="E299" s="30"/>
      <c r="F299" s="30" t="s">
        <v>121</v>
      </c>
      <c r="G299" s="31">
        <f>K7+91</f>
        <v>41244</v>
      </c>
      <c r="H299" s="116">
        <f t="shared" si="100"/>
        <v>41304</v>
      </c>
      <c r="I299" s="31"/>
      <c r="J299" s="118">
        <v>60</v>
      </c>
      <c r="K299" s="117" t="str">
        <f t="shared" si="73"/>
        <v/>
      </c>
      <c r="L299" s="117" t="str">
        <f t="shared" si="74"/>
        <v/>
      </c>
      <c r="M299" s="117" t="str">
        <f t="shared" si="75"/>
        <v>X</v>
      </c>
      <c r="N299" s="47"/>
      <c r="O299" s="22"/>
      <c r="P299" s="18"/>
      <c r="Q299" s="27"/>
      <c r="R299" s="22"/>
      <c r="S299" s="27"/>
      <c r="T299" s="47"/>
    </row>
    <row r="300" spans="1:20" s="19" customFormat="1" ht="15.75" x14ac:dyDescent="0.2">
      <c r="A300" s="29"/>
      <c r="B300" s="29"/>
      <c r="C300" s="29" t="s">
        <v>87</v>
      </c>
      <c r="D300" s="32" t="s">
        <v>268</v>
      </c>
      <c r="E300" s="30"/>
      <c r="F300" s="30" t="s">
        <v>313</v>
      </c>
      <c r="G300" s="31">
        <f>K7+60</f>
        <v>41213</v>
      </c>
      <c r="H300" s="116">
        <f t="shared" si="100"/>
        <v>41234</v>
      </c>
      <c r="I300" s="31"/>
      <c r="J300" s="118">
        <v>21</v>
      </c>
      <c r="K300" s="117" t="str">
        <f t="shared" si="73"/>
        <v/>
      </c>
      <c r="L300" s="117" t="str">
        <f t="shared" si="74"/>
        <v>X</v>
      </c>
      <c r="M300" s="117" t="str">
        <f t="shared" si="75"/>
        <v/>
      </c>
      <c r="N300" s="47"/>
      <c r="O300" s="22"/>
      <c r="P300" s="18"/>
      <c r="Q300" s="27"/>
      <c r="R300" s="22"/>
      <c r="S300" s="27"/>
      <c r="T300" s="47"/>
    </row>
    <row r="301" spans="1:20" s="19" customFormat="1" ht="15.75" x14ac:dyDescent="0.2">
      <c r="A301" s="29"/>
      <c r="B301" s="29"/>
      <c r="C301" s="29" t="s">
        <v>87</v>
      </c>
      <c r="D301" s="32" t="s">
        <v>269</v>
      </c>
      <c r="E301" s="30"/>
      <c r="F301" s="30" t="s">
        <v>313</v>
      </c>
      <c r="G301" s="31">
        <f>K7+60</f>
        <v>41213</v>
      </c>
      <c r="H301" s="116">
        <f t="shared" si="100"/>
        <v>41273</v>
      </c>
      <c r="I301" s="31"/>
      <c r="J301" s="118">
        <v>60</v>
      </c>
      <c r="K301" s="117" t="str">
        <f t="shared" si="73"/>
        <v/>
      </c>
      <c r="L301" s="117" t="str">
        <f t="shared" si="74"/>
        <v/>
      </c>
      <c r="M301" s="117" t="str">
        <f t="shared" si="75"/>
        <v>X</v>
      </c>
      <c r="N301" s="47"/>
      <c r="O301" s="22"/>
      <c r="P301" s="18"/>
      <c r="Q301" s="27"/>
      <c r="R301" s="22"/>
      <c r="S301" s="27"/>
      <c r="T301" s="47"/>
    </row>
    <row r="302" spans="1:20" s="19" customFormat="1" ht="30" x14ac:dyDescent="0.2">
      <c r="A302" s="29"/>
      <c r="B302" s="29"/>
      <c r="C302" s="29" t="s">
        <v>87</v>
      </c>
      <c r="D302" s="32" t="s">
        <v>277</v>
      </c>
      <c r="E302" s="30"/>
      <c r="F302" s="30" t="s">
        <v>311</v>
      </c>
      <c r="G302" s="31">
        <f>K7+30</f>
        <v>41183</v>
      </c>
      <c r="H302" s="116">
        <f t="shared" si="100"/>
        <v>41193</v>
      </c>
      <c r="I302" s="31"/>
      <c r="J302" s="118">
        <v>10</v>
      </c>
      <c r="K302" s="117" t="str">
        <f t="shared" si="73"/>
        <v/>
      </c>
      <c r="L302" s="117" t="str">
        <f t="shared" si="74"/>
        <v>X</v>
      </c>
      <c r="M302" s="117" t="str">
        <f t="shared" si="75"/>
        <v/>
      </c>
      <c r="N302" s="47"/>
      <c r="O302" s="22"/>
      <c r="P302" s="18"/>
      <c r="Q302" s="27"/>
      <c r="R302" s="22"/>
      <c r="S302" s="27"/>
      <c r="T302" s="47"/>
    </row>
    <row r="303" spans="1:20" s="19" customFormat="1" ht="15.75" x14ac:dyDescent="0.2">
      <c r="A303" s="29"/>
      <c r="B303" s="29"/>
      <c r="C303" s="29" t="s">
        <v>87</v>
      </c>
      <c r="D303" s="32" t="s">
        <v>278</v>
      </c>
      <c r="E303" s="30"/>
      <c r="F303" s="30" t="s">
        <v>313</v>
      </c>
      <c r="G303" s="31">
        <f>K7+60</f>
        <v>41213</v>
      </c>
      <c r="H303" s="116">
        <f t="shared" si="100"/>
        <v>41273</v>
      </c>
      <c r="I303" s="31"/>
      <c r="J303" s="118">
        <v>60</v>
      </c>
      <c r="K303" s="117" t="str">
        <f t="shared" si="73"/>
        <v/>
      </c>
      <c r="L303" s="117" t="str">
        <f t="shared" si="74"/>
        <v/>
      </c>
      <c r="M303" s="117" t="str">
        <f t="shared" si="75"/>
        <v>X</v>
      </c>
      <c r="N303" s="47"/>
      <c r="O303" s="22"/>
      <c r="P303" s="18"/>
      <c r="Q303" s="27"/>
      <c r="R303" s="22"/>
      <c r="S303" s="27"/>
      <c r="T303" s="47"/>
    </row>
    <row r="304" spans="1:20" s="19" customFormat="1" ht="15.75" x14ac:dyDescent="0.2">
      <c r="A304" s="29"/>
      <c r="B304" s="29"/>
      <c r="C304" s="29" t="s">
        <v>87</v>
      </c>
      <c r="D304" s="32" t="s">
        <v>279</v>
      </c>
      <c r="E304" s="30"/>
      <c r="F304" s="30" t="s">
        <v>314</v>
      </c>
      <c r="G304" s="31">
        <f>K7+90</f>
        <v>41243</v>
      </c>
      <c r="H304" s="116">
        <f t="shared" si="100"/>
        <v>41303</v>
      </c>
      <c r="I304" s="31"/>
      <c r="J304" s="118">
        <v>60</v>
      </c>
      <c r="K304" s="117" t="str">
        <f t="shared" si="73"/>
        <v/>
      </c>
      <c r="L304" s="117" t="str">
        <f t="shared" si="74"/>
        <v/>
      </c>
      <c r="M304" s="117" t="str">
        <f t="shared" si="75"/>
        <v>X</v>
      </c>
      <c r="N304" s="47"/>
      <c r="O304" s="22"/>
      <c r="P304" s="18"/>
      <c r="Q304" s="27"/>
      <c r="R304" s="22"/>
      <c r="S304" s="27"/>
      <c r="T304" s="47"/>
    </row>
    <row r="305" spans="1:20" s="19" customFormat="1" ht="15.75" x14ac:dyDescent="0.2">
      <c r="A305" s="141"/>
      <c r="B305" s="142"/>
      <c r="C305" s="148" t="s">
        <v>87</v>
      </c>
      <c r="D305" s="143" t="s">
        <v>353</v>
      </c>
      <c r="E305" s="144"/>
      <c r="F305" s="144" t="s">
        <v>311</v>
      </c>
      <c r="G305" s="96"/>
      <c r="H305" s="96"/>
      <c r="I305" s="96"/>
      <c r="J305" s="145"/>
      <c r="K305" s="146"/>
      <c r="L305" s="146"/>
      <c r="M305" s="146"/>
      <c r="N305" s="144"/>
      <c r="O305" s="101"/>
      <c r="P305" s="147"/>
      <c r="Q305" s="101"/>
      <c r="R305" s="101"/>
      <c r="S305" s="102"/>
      <c r="T305" s="144"/>
    </row>
    <row r="306" spans="1:20" s="19" customFormat="1" ht="15.75" x14ac:dyDescent="0.2">
      <c r="A306" s="113"/>
      <c r="B306" s="21"/>
      <c r="C306" s="150" t="s">
        <v>87</v>
      </c>
      <c r="D306" s="92" t="s">
        <v>354</v>
      </c>
      <c r="E306" s="23"/>
      <c r="F306" s="23" t="s">
        <v>311</v>
      </c>
      <c r="G306" s="31"/>
      <c r="H306" s="116"/>
      <c r="I306" s="24"/>
      <c r="J306" s="118"/>
      <c r="K306" s="117"/>
      <c r="L306" s="117"/>
      <c r="M306" s="117"/>
      <c r="N306" s="25"/>
      <c r="O306" s="26"/>
      <c r="P306" s="18"/>
      <c r="Q306" s="27"/>
      <c r="R306" s="22"/>
      <c r="S306" s="28"/>
      <c r="T306" s="25"/>
    </row>
    <row r="307" spans="1:20" s="19" customFormat="1" ht="15.75" x14ac:dyDescent="0.2">
      <c r="A307" s="113"/>
      <c r="B307" s="21"/>
      <c r="C307" s="150" t="s">
        <v>87</v>
      </c>
      <c r="D307" s="92" t="s">
        <v>355</v>
      </c>
      <c r="E307" s="23"/>
      <c r="F307" s="23" t="s">
        <v>311</v>
      </c>
      <c r="G307" s="31"/>
      <c r="H307" s="116"/>
      <c r="I307" s="24"/>
      <c r="J307" s="118"/>
      <c r="K307" s="117"/>
      <c r="L307" s="117"/>
      <c r="M307" s="117"/>
      <c r="N307" s="25"/>
      <c r="O307" s="26"/>
      <c r="P307" s="18"/>
      <c r="Q307" s="27"/>
      <c r="R307" s="22"/>
      <c r="S307" s="28"/>
      <c r="T307" s="25"/>
    </row>
    <row r="308" spans="1:20" s="19" customFormat="1" ht="30" x14ac:dyDescent="0.2">
      <c r="A308" s="113"/>
      <c r="B308" s="21"/>
      <c r="C308" s="150" t="s">
        <v>87</v>
      </c>
      <c r="D308" s="92" t="s">
        <v>356</v>
      </c>
      <c r="E308" s="23"/>
      <c r="F308" s="23" t="s">
        <v>311</v>
      </c>
      <c r="G308" s="31"/>
      <c r="H308" s="116"/>
      <c r="I308" s="24"/>
      <c r="J308" s="118"/>
      <c r="K308" s="117"/>
      <c r="L308" s="117"/>
      <c r="M308" s="117"/>
      <c r="N308" s="25"/>
      <c r="O308" s="26"/>
      <c r="P308" s="18"/>
      <c r="Q308" s="27"/>
      <c r="R308" s="22"/>
      <c r="S308" s="28"/>
      <c r="T308" s="25"/>
    </row>
    <row r="309" spans="1:20" s="19" customFormat="1" ht="30" x14ac:dyDescent="0.2">
      <c r="A309" s="113"/>
      <c r="B309" s="21"/>
      <c r="C309" s="150" t="s">
        <v>87</v>
      </c>
      <c r="D309" s="92" t="s">
        <v>357</v>
      </c>
      <c r="E309" s="23"/>
      <c r="F309" s="23" t="s">
        <v>311</v>
      </c>
      <c r="G309" s="31"/>
      <c r="H309" s="116"/>
      <c r="I309" s="24"/>
      <c r="J309" s="118"/>
      <c r="K309" s="117"/>
      <c r="L309" s="117"/>
      <c r="M309" s="117"/>
      <c r="N309" s="25"/>
      <c r="O309" s="26"/>
      <c r="P309" s="18"/>
      <c r="Q309" s="27"/>
      <c r="R309" s="22"/>
      <c r="S309" s="28"/>
      <c r="T309" s="25"/>
    </row>
    <row r="310" spans="1:20" s="19" customFormat="1" ht="15.75" x14ac:dyDescent="0.2">
      <c r="A310" s="113"/>
      <c r="B310" s="21"/>
      <c r="C310" s="150" t="s">
        <v>87</v>
      </c>
      <c r="D310" s="92" t="s">
        <v>358</v>
      </c>
      <c r="E310" s="23"/>
      <c r="F310" s="23" t="s">
        <v>311</v>
      </c>
      <c r="G310" s="31"/>
      <c r="H310" s="116"/>
      <c r="I310" s="24"/>
      <c r="J310" s="118"/>
      <c r="K310" s="117"/>
      <c r="L310" s="117"/>
      <c r="M310" s="117"/>
      <c r="N310" s="25"/>
      <c r="O310" s="26"/>
      <c r="P310" s="18"/>
      <c r="Q310" s="27"/>
      <c r="R310" s="22"/>
      <c r="S310" s="28"/>
      <c r="T310" s="25"/>
    </row>
    <row r="311" spans="1:20" s="19" customFormat="1" ht="15.75" x14ac:dyDescent="0.2">
      <c r="A311" s="113"/>
      <c r="B311" s="21"/>
      <c r="C311" s="150" t="s">
        <v>87</v>
      </c>
      <c r="D311" s="92" t="s">
        <v>359</v>
      </c>
      <c r="E311" s="23"/>
      <c r="F311" s="23" t="s">
        <v>311</v>
      </c>
      <c r="G311" s="31"/>
      <c r="H311" s="116"/>
      <c r="I311" s="24"/>
      <c r="J311" s="118"/>
      <c r="K311" s="117"/>
      <c r="L311" s="117"/>
      <c r="M311" s="117"/>
      <c r="N311" s="25"/>
      <c r="O311" s="26"/>
      <c r="P311" s="18"/>
      <c r="Q311" s="27"/>
      <c r="R311" s="22"/>
      <c r="S311" s="28"/>
      <c r="T311" s="25"/>
    </row>
    <row r="312" spans="1:20" s="19" customFormat="1" ht="15.75" x14ac:dyDescent="0.2">
      <c r="A312" s="113"/>
      <c r="B312" s="21"/>
      <c r="C312" s="150" t="s">
        <v>87</v>
      </c>
      <c r="D312" s="92" t="s">
        <v>360</v>
      </c>
      <c r="E312" s="23"/>
      <c r="F312" s="23" t="s">
        <v>311</v>
      </c>
      <c r="G312" s="31"/>
      <c r="H312" s="116"/>
      <c r="I312" s="24"/>
      <c r="J312" s="118"/>
      <c r="K312" s="117"/>
      <c r="L312" s="117"/>
      <c r="M312" s="117"/>
      <c r="N312" s="25"/>
      <c r="O312" s="26"/>
      <c r="P312" s="18"/>
      <c r="Q312" s="27"/>
      <c r="R312" s="22"/>
      <c r="S312" s="28"/>
      <c r="T312" s="25"/>
    </row>
    <row r="313" spans="1:20" s="19" customFormat="1" ht="15.75" x14ac:dyDescent="0.2">
      <c r="A313" s="113"/>
      <c r="B313" s="21"/>
      <c r="C313" s="150" t="s">
        <v>87</v>
      </c>
      <c r="D313" s="92" t="s">
        <v>361</v>
      </c>
      <c r="E313" s="23"/>
      <c r="F313" s="23" t="s">
        <v>311</v>
      </c>
      <c r="G313" s="31"/>
      <c r="H313" s="116"/>
      <c r="I313" s="24"/>
      <c r="J313" s="118"/>
      <c r="K313" s="117"/>
      <c r="L313" s="117"/>
      <c r="M313" s="117"/>
      <c r="N313" s="25"/>
      <c r="O313" s="26"/>
      <c r="P313" s="18"/>
      <c r="Q313" s="27"/>
      <c r="R313" s="22"/>
      <c r="S313" s="28"/>
      <c r="T313" s="25"/>
    </row>
    <row r="314" spans="1:20" s="19" customFormat="1" ht="15.75" x14ac:dyDescent="0.2">
      <c r="A314" s="113"/>
      <c r="B314" s="21"/>
      <c r="C314" s="150" t="s">
        <v>87</v>
      </c>
      <c r="D314" s="92" t="s">
        <v>362</v>
      </c>
      <c r="E314" s="23"/>
      <c r="F314" s="23" t="s">
        <v>311</v>
      </c>
      <c r="G314" s="31"/>
      <c r="H314" s="116"/>
      <c r="I314" s="24"/>
      <c r="J314" s="118"/>
      <c r="K314" s="117"/>
      <c r="L314" s="117"/>
      <c r="M314" s="117"/>
      <c r="N314" s="25"/>
      <c r="O314" s="26"/>
      <c r="P314" s="18"/>
      <c r="Q314" s="27"/>
      <c r="R314" s="22"/>
      <c r="S314" s="28"/>
      <c r="T314" s="25"/>
    </row>
    <row r="315" spans="1:20" s="19" customFormat="1" ht="15.75" x14ac:dyDescent="0.2">
      <c r="A315" s="113"/>
      <c r="B315" s="21"/>
      <c r="C315" s="150" t="s">
        <v>87</v>
      </c>
      <c r="D315" s="92" t="s">
        <v>363</v>
      </c>
      <c r="E315" s="23"/>
      <c r="F315" s="23" t="s">
        <v>311</v>
      </c>
      <c r="G315" s="31"/>
      <c r="H315" s="116"/>
      <c r="I315" s="24"/>
      <c r="J315" s="118"/>
      <c r="K315" s="117"/>
      <c r="L315" s="117"/>
      <c r="M315" s="117"/>
      <c r="N315" s="25"/>
      <c r="O315" s="26"/>
      <c r="P315" s="18"/>
      <c r="Q315" s="27"/>
      <c r="R315" s="22"/>
      <c r="S315" s="28"/>
      <c r="T315" s="25"/>
    </row>
    <row r="316" spans="1:20" s="19" customFormat="1" ht="15.75" x14ac:dyDescent="0.2">
      <c r="A316" s="113"/>
      <c r="B316" s="21"/>
      <c r="C316" s="150" t="s">
        <v>87</v>
      </c>
      <c r="D316" s="92" t="s">
        <v>364</v>
      </c>
      <c r="E316" s="23"/>
      <c r="F316" s="23" t="s">
        <v>311</v>
      </c>
      <c r="G316" s="31"/>
      <c r="H316" s="116"/>
      <c r="I316" s="24"/>
      <c r="J316" s="118"/>
      <c r="K316" s="117"/>
      <c r="L316" s="117"/>
      <c r="M316" s="117"/>
      <c r="N316" s="25"/>
      <c r="O316" s="26"/>
      <c r="P316" s="18"/>
      <c r="Q316" s="27"/>
      <c r="R316" s="22"/>
      <c r="S316" s="28"/>
      <c r="T316" s="25"/>
    </row>
    <row r="317" spans="1:20" s="19" customFormat="1" ht="15.75" x14ac:dyDescent="0.2">
      <c r="A317" s="113"/>
      <c r="B317" s="21"/>
      <c r="C317" s="150" t="s">
        <v>87</v>
      </c>
      <c r="D317" s="92" t="s">
        <v>365</v>
      </c>
      <c r="E317" s="23"/>
      <c r="F317" s="23" t="s">
        <v>311</v>
      </c>
      <c r="G317" s="31"/>
      <c r="H317" s="116"/>
      <c r="I317" s="24"/>
      <c r="J317" s="118"/>
      <c r="K317" s="117"/>
      <c r="L317" s="117"/>
      <c r="M317" s="117"/>
      <c r="N317" s="25"/>
      <c r="O317" s="26"/>
      <c r="P317" s="18"/>
      <c r="Q317" s="27"/>
      <c r="R317" s="22"/>
      <c r="S317" s="28"/>
      <c r="T317" s="25"/>
    </row>
    <row r="318" spans="1:20" s="19" customFormat="1" ht="45" x14ac:dyDescent="0.2">
      <c r="A318" s="113"/>
      <c r="B318" s="21"/>
      <c r="C318" s="150" t="s">
        <v>87</v>
      </c>
      <c r="D318" s="92" t="s">
        <v>366</v>
      </c>
      <c r="E318" s="23"/>
      <c r="F318" s="23" t="s">
        <v>311</v>
      </c>
      <c r="G318" s="31"/>
      <c r="H318" s="116"/>
      <c r="I318" s="24"/>
      <c r="J318" s="118"/>
      <c r="K318" s="117"/>
      <c r="L318" s="117"/>
      <c r="M318" s="117"/>
      <c r="N318" s="25"/>
      <c r="O318" s="26"/>
      <c r="P318" s="18"/>
      <c r="Q318" s="27"/>
      <c r="R318" s="22"/>
      <c r="S318" s="28"/>
      <c r="T318" s="25"/>
    </row>
    <row r="319" spans="1:20" s="19" customFormat="1" ht="15.75" x14ac:dyDescent="0.2">
      <c r="A319" s="112"/>
      <c r="B319" s="93"/>
      <c r="C319" s="93" t="s">
        <v>87</v>
      </c>
      <c r="D319" s="94" t="s">
        <v>280</v>
      </c>
      <c r="E319" s="95"/>
      <c r="F319" s="95" t="s">
        <v>313</v>
      </c>
      <c r="G319" s="96">
        <f>K7+60</f>
        <v>41213</v>
      </c>
      <c r="H319" s="96">
        <f>G319+J319</f>
        <v>41233</v>
      </c>
      <c r="I319" s="97"/>
      <c r="J319" s="98">
        <v>20</v>
      </c>
      <c r="K319" s="99" t="str">
        <f t="shared" si="73"/>
        <v/>
      </c>
      <c r="L319" s="99" t="str">
        <f t="shared" si="74"/>
        <v>X</v>
      </c>
      <c r="M319" s="99" t="str">
        <f t="shared" si="75"/>
        <v/>
      </c>
      <c r="N319" s="95"/>
      <c r="O319" s="100"/>
      <c r="P319" s="103"/>
      <c r="Q319" s="101"/>
      <c r="R319" s="101"/>
      <c r="S319" s="102"/>
      <c r="T319" s="95"/>
    </row>
    <row r="320" spans="1:20" s="19" customFormat="1" ht="15.75" x14ac:dyDescent="0.2">
      <c r="A320" s="29"/>
      <c r="B320" s="29"/>
      <c r="C320" s="29" t="s">
        <v>87</v>
      </c>
      <c r="D320" s="32" t="s">
        <v>281</v>
      </c>
      <c r="E320" s="30"/>
      <c r="F320" s="30" t="s">
        <v>311</v>
      </c>
      <c r="G320" s="31">
        <f>K7+30</f>
        <v>41183</v>
      </c>
      <c r="H320" s="116">
        <f t="shared" ref="H320:H352" si="101">G320+J320</f>
        <v>41193</v>
      </c>
      <c r="I320" s="31"/>
      <c r="J320" s="118">
        <v>10</v>
      </c>
      <c r="K320" s="117" t="str">
        <f t="shared" si="73"/>
        <v/>
      </c>
      <c r="L320" s="117" t="str">
        <f t="shared" si="74"/>
        <v>X</v>
      </c>
      <c r="M320" s="117" t="str">
        <f t="shared" si="75"/>
        <v/>
      </c>
      <c r="N320" s="47"/>
      <c r="O320" s="22"/>
      <c r="P320" s="18"/>
      <c r="Q320" s="27"/>
      <c r="R320" s="22"/>
      <c r="S320" s="27"/>
      <c r="T320" s="47"/>
    </row>
    <row r="321" spans="1:20" s="19" customFormat="1" ht="15.75" x14ac:dyDescent="0.2">
      <c r="A321" s="29"/>
      <c r="B321" s="29"/>
      <c r="C321" s="29" t="s">
        <v>87</v>
      </c>
      <c r="D321" s="32" t="s">
        <v>282</v>
      </c>
      <c r="E321" s="30"/>
      <c r="F321" s="30" t="s">
        <v>313</v>
      </c>
      <c r="G321" s="31">
        <f>K7+60</f>
        <v>41213</v>
      </c>
      <c r="H321" s="116">
        <f t="shared" si="101"/>
        <v>41233</v>
      </c>
      <c r="I321" s="31"/>
      <c r="J321" s="118">
        <v>20</v>
      </c>
      <c r="K321" s="117" t="str">
        <f t="shared" si="73"/>
        <v/>
      </c>
      <c r="L321" s="117" t="str">
        <f t="shared" si="74"/>
        <v>X</v>
      </c>
      <c r="M321" s="117" t="str">
        <f t="shared" si="75"/>
        <v/>
      </c>
      <c r="N321" s="47"/>
      <c r="O321" s="22"/>
      <c r="P321" s="18"/>
      <c r="Q321" s="27"/>
      <c r="R321" s="22"/>
      <c r="S321" s="27"/>
      <c r="T321" s="47"/>
    </row>
    <row r="322" spans="1:20" s="19" customFormat="1" ht="15.75" x14ac:dyDescent="0.2">
      <c r="A322" s="29"/>
      <c r="B322" s="29"/>
      <c r="C322" s="29" t="s">
        <v>87</v>
      </c>
      <c r="D322" s="32" t="s">
        <v>283</v>
      </c>
      <c r="E322" s="30"/>
      <c r="F322" s="30" t="s">
        <v>313</v>
      </c>
      <c r="G322" s="31">
        <f>K7+60</f>
        <v>41213</v>
      </c>
      <c r="H322" s="116">
        <f t="shared" si="101"/>
        <v>41233</v>
      </c>
      <c r="I322" s="31"/>
      <c r="J322" s="118">
        <v>20</v>
      </c>
      <c r="K322" s="117" t="str">
        <f t="shared" si="73"/>
        <v/>
      </c>
      <c r="L322" s="117" t="str">
        <f t="shared" si="74"/>
        <v>X</v>
      </c>
      <c r="M322" s="117" t="str">
        <f t="shared" si="75"/>
        <v/>
      </c>
      <c r="N322" s="47"/>
      <c r="O322" s="22"/>
      <c r="P322" s="18"/>
      <c r="Q322" s="27"/>
      <c r="R322" s="22"/>
      <c r="S322" s="27"/>
      <c r="T322" s="47"/>
    </row>
    <row r="323" spans="1:20" s="19" customFormat="1" ht="15.75" x14ac:dyDescent="0.2">
      <c r="A323" s="29"/>
      <c r="B323" s="29"/>
      <c r="C323" s="29" t="s">
        <v>87</v>
      </c>
      <c r="D323" s="32" t="s">
        <v>284</v>
      </c>
      <c r="E323" s="30"/>
      <c r="F323" s="30" t="s">
        <v>313</v>
      </c>
      <c r="G323" s="31">
        <f>K7+60</f>
        <v>41213</v>
      </c>
      <c r="H323" s="116">
        <f t="shared" si="101"/>
        <v>41218</v>
      </c>
      <c r="I323" s="31"/>
      <c r="J323" s="118">
        <v>5</v>
      </c>
      <c r="K323" s="117" t="str">
        <f t="shared" si="73"/>
        <v/>
      </c>
      <c r="L323" s="117" t="str">
        <f t="shared" si="74"/>
        <v>X</v>
      </c>
      <c r="M323" s="117" t="str">
        <f t="shared" si="75"/>
        <v/>
      </c>
      <c r="N323" s="47"/>
      <c r="O323" s="22"/>
      <c r="P323" s="18"/>
      <c r="Q323" s="27"/>
      <c r="R323" s="22"/>
      <c r="S323" s="27"/>
      <c r="T323" s="47"/>
    </row>
    <row r="324" spans="1:20" s="19" customFormat="1" ht="15.75" x14ac:dyDescent="0.2">
      <c r="A324" s="29"/>
      <c r="B324" s="29"/>
      <c r="C324" s="29" t="s">
        <v>87</v>
      </c>
      <c r="D324" s="32" t="s">
        <v>273</v>
      </c>
      <c r="E324" s="30"/>
      <c r="F324" s="30" t="s">
        <v>313</v>
      </c>
      <c r="G324" s="31">
        <f>K7+60</f>
        <v>41213</v>
      </c>
      <c r="H324" s="116">
        <f t="shared" si="101"/>
        <v>41233</v>
      </c>
      <c r="I324" s="31"/>
      <c r="J324" s="118">
        <v>20</v>
      </c>
      <c r="K324" s="117" t="str">
        <f t="shared" si="73"/>
        <v/>
      </c>
      <c r="L324" s="117" t="str">
        <f t="shared" si="74"/>
        <v>X</v>
      </c>
      <c r="M324" s="117" t="str">
        <f t="shared" si="75"/>
        <v/>
      </c>
      <c r="N324" s="47"/>
      <c r="O324" s="22"/>
      <c r="P324" s="18"/>
      <c r="Q324" s="27"/>
      <c r="R324" s="22"/>
      <c r="S324" s="27"/>
      <c r="T324" s="47"/>
    </row>
    <row r="325" spans="1:20" s="19" customFormat="1" ht="15.75" x14ac:dyDescent="0.2">
      <c r="A325" s="29"/>
      <c r="B325" s="29"/>
      <c r="C325" s="29" t="s">
        <v>87</v>
      </c>
      <c r="D325" s="32" t="s">
        <v>285</v>
      </c>
      <c r="E325" s="30"/>
      <c r="F325" s="30" t="s">
        <v>313</v>
      </c>
      <c r="G325" s="31">
        <f>K7+60</f>
        <v>41213</v>
      </c>
      <c r="H325" s="116">
        <f t="shared" si="101"/>
        <v>41218</v>
      </c>
      <c r="I325" s="31"/>
      <c r="J325" s="118">
        <v>5</v>
      </c>
      <c r="K325" s="117" t="str">
        <f t="shared" si="73"/>
        <v/>
      </c>
      <c r="L325" s="117" t="str">
        <f t="shared" si="74"/>
        <v>X</v>
      </c>
      <c r="M325" s="117" t="str">
        <f t="shared" si="75"/>
        <v/>
      </c>
      <c r="N325" s="47"/>
      <c r="O325" s="22"/>
      <c r="P325" s="18"/>
      <c r="Q325" s="27"/>
      <c r="R325" s="22"/>
      <c r="S325" s="27"/>
      <c r="T325" s="47"/>
    </row>
    <row r="326" spans="1:20" s="19" customFormat="1" ht="15.75" x14ac:dyDescent="0.2">
      <c r="A326" s="29"/>
      <c r="B326" s="29"/>
      <c r="C326" s="29" t="s">
        <v>87</v>
      </c>
      <c r="D326" s="32" t="s">
        <v>286</v>
      </c>
      <c r="E326" s="30"/>
      <c r="F326" s="30" t="s">
        <v>314</v>
      </c>
      <c r="G326" s="31">
        <f>K7+90</f>
        <v>41243</v>
      </c>
      <c r="H326" s="116">
        <f t="shared" si="101"/>
        <v>41244</v>
      </c>
      <c r="I326" s="31"/>
      <c r="J326" s="118">
        <v>1</v>
      </c>
      <c r="K326" s="117" t="str">
        <f t="shared" si="73"/>
        <v/>
      </c>
      <c r="L326" s="117" t="str">
        <f t="shared" si="74"/>
        <v/>
      </c>
      <c r="M326" s="117" t="str">
        <f t="shared" si="75"/>
        <v>X</v>
      </c>
      <c r="N326" s="47"/>
      <c r="O326" s="22"/>
      <c r="P326" s="18"/>
      <c r="Q326" s="27"/>
      <c r="R326" s="22"/>
      <c r="S326" s="27"/>
      <c r="T326" s="47"/>
    </row>
    <row r="327" spans="1:20" s="19" customFormat="1" ht="15.75" x14ac:dyDescent="0.2">
      <c r="A327" s="29"/>
      <c r="B327" s="29"/>
      <c r="C327" s="29" t="s">
        <v>87</v>
      </c>
      <c r="D327" s="32" t="s">
        <v>274</v>
      </c>
      <c r="E327" s="30"/>
      <c r="F327" s="30" t="s">
        <v>314</v>
      </c>
      <c r="G327" s="31">
        <f>K7+90</f>
        <v>41243</v>
      </c>
      <c r="H327" s="116">
        <f t="shared" si="101"/>
        <v>41253</v>
      </c>
      <c r="I327" s="31"/>
      <c r="J327" s="118">
        <v>10</v>
      </c>
      <c r="K327" s="117" t="str">
        <f t="shared" ref="K327:K361" si="102">IF(H327=0,"",IF(H327&lt;=$K$7, "X", ""))</f>
        <v/>
      </c>
      <c r="L327" s="117" t="str">
        <f t="shared" ref="L327:L361" si="103">IF(H327&lt;$K$7, "",IF(H327&lt;=$L$7,"X", ""))</f>
        <v/>
      </c>
      <c r="M327" s="117" t="str">
        <f t="shared" ref="M327:M361" si="104">IF(H327&lt;$L$7, "",IF(H327&gt;$L$7,"X", ""))</f>
        <v>X</v>
      </c>
      <c r="N327" s="47"/>
      <c r="O327" s="22"/>
      <c r="P327" s="18"/>
      <c r="Q327" s="27"/>
      <c r="R327" s="22"/>
      <c r="S327" s="27"/>
      <c r="T327" s="47"/>
    </row>
    <row r="328" spans="1:20" s="19" customFormat="1" ht="15.75" x14ac:dyDescent="0.2">
      <c r="A328" s="29"/>
      <c r="B328" s="29"/>
      <c r="C328" s="29" t="s">
        <v>87</v>
      </c>
      <c r="D328" s="32" t="s">
        <v>287</v>
      </c>
      <c r="E328" s="30"/>
      <c r="F328" s="30" t="s">
        <v>314</v>
      </c>
      <c r="G328" s="31">
        <f>K7+90</f>
        <v>41243</v>
      </c>
      <c r="H328" s="116">
        <f t="shared" si="101"/>
        <v>41244</v>
      </c>
      <c r="I328" s="31"/>
      <c r="J328" s="118">
        <v>1</v>
      </c>
      <c r="K328" s="117" t="str">
        <f t="shared" si="102"/>
        <v/>
      </c>
      <c r="L328" s="117" t="str">
        <f t="shared" si="103"/>
        <v/>
      </c>
      <c r="M328" s="117" t="str">
        <f t="shared" si="104"/>
        <v>X</v>
      </c>
      <c r="N328" s="47"/>
      <c r="O328" s="22"/>
      <c r="P328" s="18"/>
      <c r="Q328" s="27"/>
      <c r="R328" s="22"/>
      <c r="S328" s="27"/>
      <c r="T328" s="47"/>
    </row>
    <row r="329" spans="1:20" s="19" customFormat="1" ht="15.75" x14ac:dyDescent="0.2">
      <c r="A329" s="112"/>
      <c r="B329" s="93"/>
      <c r="C329" s="93" t="s">
        <v>87</v>
      </c>
      <c r="D329" s="94" t="s">
        <v>429</v>
      </c>
      <c r="E329" s="95"/>
      <c r="F329" s="95" t="s">
        <v>313</v>
      </c>
      <c r="G329" s="96">
        <f>K9+60</f>
        <v>60</v>
      </c>
      <c r="H329" s="96">
        <f>G329+J329</f>
        <v>80</v>
      </c>
      <c r="I329" s="97"/>
      <c r="J329" s="98">
        <v>20</v>
      </c>
      <c r="K329" s="99" t="str">
        <f t="shared" ref="K329:K344" si="105">IF(H329=0,"",IF(H329&lt;=$K$7, "X", ""))</f>
        <v>X</v>
      </c>
      <c r="L329" s="99" t="str">
        <f t="shared" ref="L329:L344" si="106">IF(H329&lt;$K$7, "",IF(H329&lt;=$L$7,"X", ""))</f>
        <v/>
      </c>
      <c r="M329" s="99" t="str">
        <f t="shared" ref="M329:M344" si="107">IF(H329&lt;$L$7, "",IF(H329&gt;$L$7,"X", ""))</f>
        <v/>
      </c>
      <c r="N329" s="95"/>
      <c r="O329" s="100"/>
      <c r="P329" s="103"/>
      <c r="Q329" s="101"/>
      <c r="R329" s="101"/>
      <c r="S329" s="102"/>
      <c r="T329" s="95"/>
    </row>
    <row r="330" spans="1:20" s="19" customFormat="1" ht="15.75" x14ac:dyDescent="0.2">
      <c r="A330" s="29"/>
      <c r="B330" s="29"/>
      <c r="C330" s="29" t="s">
        <v>87</v>
      </c>
      <c r="D330" s="32" t="s">
        <v>270</v>
      </c>
      <c r="E330" s="30"/>
      <c r="F330" s="30" t="s">
        <v>313</v>
      </c>
      <c r="G330" s="31">
        <f>K33+60</f>
        <v>60</v>
      </c>
      <c r="H330" s="116">
        <f t="shared" ref="H330:H336" si="108">G330+J330</f>
        <v>120</v>
      </c>
      <c r="I330" s="31"/>
      <c r="J330" s="118">
        <v>60</v>
      </c>
      <c r="K330" s="117" t="str">
        <f t="shared" si="105"/>
        <v>X</v>
      </c>
      <c r="L330" s="117" t="str">
        <f t="shared" si="106"/>
        <v/>
      </c>
      <c r="M330" s="117" t="str">
        <f t="shared" si="107"/>
        <v/>
      </c>
      <c r="N330" s="47"/>
      <c r="O330" s="22"/>
      <c r="P330" s="18"/>
      <c r="Q330" s="27"/>
      <c r="R330" s="22"/>
      <c r="S330" s="27"/>
      <c r="T330" s="47"/>
    </row>
    <row r="331" spans="1:20" s="19" customFormat="1" ht="15.75" x14ac:dyDescent="0.2">
      <c r="A331" s="29"/>
      <c r="B331" s="29"/>
      <c r="C331" s="29" t="s">
        <v>87</v>
      </c>
      <c r="D331" s="32" t="s">
        <v>271</v>
      </c>
      <c r="E331" s="30"/>
      <c r="F331" s="30" t="s">
        <v>313</v>
      </c>
      <c r="G331" s="31">
        <f>K33+60</f>
        <v>60</v>
      </c>
      <c r="H331" s="116">
        <f t="shared" si="108"/>
        <v>90</v>
      </c>
      <c r="I331" s="31"/>
      <c r="J331" s="118">
        <v>30</v>
      </c>
      <c r="K331" s="117" t="str">
        <f t="shared" si="105"/>
        <v>X</v>
      </c>
      <c r="L331" s="117" t="str">
        <f t="shared" si="106"/>
        <v/>
      </c>
      <c r="M331" s="117" t="str">
        <f t="shared" si="107"/>
        <v/>
      </c>
      <c r="N331" s="47"/>
      <c r="O331" s="22"/>
      <c r="P331" s="18"/>
      <c r="Q331" s="27"/>
      <c r="R331" s="22"/>
      <c r="S331" s="27"/>
      <c r="T331" s="47"/>
    </row>
    <row r="332" spans="1:20" s="19" customFormat="1" ht="15.75" x14ac:dyDescent="0.2">
      <c r="A332" s="29"/>
      <c r="B332" s="29"/>
      <c r="C332" s="29" t="s">
        <v>87</v>
      </c>
      <c r="D332" s="32" t="s">
        <v>272</v>
      </c>
      <c r="E332" s="30"/>
      <c r="F332" s="30" t="s">
        <v>121</v>
      </c>
      <c r="G332" s="31">
        <f>K33+91</f>
        <v>91</v>
      </c>
      <c r="H332" s="116">
        <f t="shared" si="108"/>
        <v>211</v>
      </c>
      <c r="I332" s="31"/>
      <c r="J332" s="118">
        <v>120</v>
      </c>
      <c r="K332" s="117" t="str">
        <f t="shared" si="105"/>
        <v>X</v>
      </c>
      <c r="L332" s="117" t="str">
        <f t="shared" si="106"/>
        <v/>
      </c>
      <c r="M332" s="117" t="str">
        <f t="shared" si="107"/>
        <v/>
      </c>
      <c r="N332" s="47"/>
      <c r="O332" s="22"/>
      <c r="P332" s="18"/>
      <c r="Q332" s="27"/>
      <c r="R332" s="22"/>
      <c r="S332" s="27"/>
      <c r="T332" s="47"/>
    </row>
    <row r="333" spans="1:20" s="19" customFormat="1" ht="15.75" x14ac:dyDescent="0.2">
      <c r="A333" s="29"/>
      <c r="B333" s="29"/>
      <c r="C333" s="29" t="s">
        <v>87</v>
      </c>
      <c r="D333" s="32" t="s">
        <v>273</v>
      </c>
      <c r="E333" s="30"/>
      <c r="F333" s="30" t="s">
        <v>121</v>
      </c>
      <c r="G333" s="31">
        <f>K33+91</f>
        <v>91</v>
      </c>
      <c r="H333" s="116">
        <f t="shared" si="108"/>
        <v>121</v>
      </c>
      <c r="I333" s="31"/>
      <c r="J333" s="118">
        <v>30</v>
      </c>
      <c r="K333" s="117" t="str">
        <f t="shared" si="105"/>
        <v>X</v>
      </c>
      <c r="L333" s="117" t="str">
        <f t="shared" si="106"/>
        <v/>
      </c>
      <c r="M333" s="117" t="str">
        <f t="shared" si="107"/>
        <v/>
      </c>
      <c r="N333" s="47"/>
      <c r="O333" s="22"/>
      <c r="P333" s="18"/>
      <c r="Q333" s="27"/>
      <c r="R333" s="22"/>
      <c r="S333" s="27"/>
      <c r="T333" s="47"/>
    </row>
    <row r="334" spans="1:20" s="19" customFormat="1" ht="15.75" x14ac:dyDescent="0.2">
      <c r="A334" s="29"/>
      <c r="B334" s="29"/>
      <c r="C334" s="29" t="s">
        <v>87</v>
      </c>
      <c r="D334" s="32" t="s">
        <v>274</v>
      </c>
      <c r="E334" s="30"/>
      <c r="F334" s="30" t="s">
        <v>121</v>
      </c>
      <c r="G334" s="31">
        <f>K33+91</f>
        <v>91</v>
      </c>
      <c r="H334" s="116">
        <f t="shared" si="108"/>
        <v>106</v>
      </c>
      <c r="I334" s="31"/>
      <c r="J334" s="118">
        <v>15</v>
      </c>
      <c r="K334" s="117" t="str">
        <f t="shared" si="105"/>
        <v>X</v>
      </c>
      <c r="L334" s="117" t="str">
        <f t="shared" si="106"/>
        <v/>
      </c>
      <c r="M334" s="117" t="str">
        <f t="shared" si="107"/>
        <v/>
      </c>
      <c r="N334" s="47"/>
      <c r="O334" s="22"/>
      <c r="P334" s="18"/>
      <c r="Q334" s="27"/>
      <c r="R334" s="22"/>
      <c r="S334" s="27"/>
      <c r="T334" s="47"/>
    </row>
    <row r="335" spans="1:20" s="19" customFormat="1" ht="15.75" x14ac:dyDescent="0.2">
      <c r="A335" s="29"/>
      <c r="B335" s="29"/>
      <c r="C335" s="29" t="s">
        <v>87</v>
      </c>
      <c r="D335" s="32" t="s">
        <v>275</v>
      </c>
      <c r="E335" s="30"/>
      <c r="F335" s="30" t="s">
        <v>121</v>
      </c>
      <c r="G335" s="31">
        <f>K33+91</f>
        <v>91</v>
      </c>
      <c r="H335" s="116">
        <f t="shared" si="108"/>
        <v>96</v>
      </c>
      <c r="I335" s="31"/>
      <c r="J335" s="118">
        <v>5</v>
      </c>
      <c r="K335" s="117" t="str">
        <f t="shared" si="105"/>
        <v>X</v>
      </c>
      <c r="L335" s="117" t="str">
        <f t="shared" si="106"/>
        <v/>
      </c>
      <c r="M335" s="117" t="str">
        <f t="shared" si="107"/>
        <v/>
      </c>
      <c r="N335" s="47"/>
      <c r="O335" s="22"/>
      <c r="P335" s="18"/>
      <c r="Q335" s="27"/>
      <c r="R335" s="22"/>
      <c r="S335" s="27"/>
      <c r="T335" s="47"/>
    </row>
    <row r="336" spans="1:20" s="19" customFormat="1" ht="30" x14ac:dyDescent="0.2">
      <c r="A336" s="29"/>
      <c r="B336" s="29"/>
      <c r="C336" s="29" t="s">
        <v>87</v>
      </c>
      <c r="D336" s="32" t="s">
        <v>276</v>
      </c>
      <c r="E336" s="30"/>
      <c r="F336" s="30" t="s">
        <v>121</v>
      </c>
      <c r="G336" s="31">
        <f>K33+91</f>
        <v>91</v>
      </c>
      <c r="H336" s="116">
        <f t="shared" si="108"/>
        <v>151</v>
      </c>
      <c r="I336" s="31"/>
      <c r="J336" s="118">
        <v>60</v>
      </c>
      <c r="K336" s="117" t="str">
        <f t="shared" si="105"/>
        <v>X</v>
      </c>
      <c r="L336" s="117" t="str">
        <f t="shared" si="106"/>
        <v/>
      </c>
      <c r="M336" s="117" t="str">
        <f t="shared" si="107"/>
        <v/>
      </c>
      <c r="N336" s="47"/>
      <c r="O336" s="22"/>
      <c r="P336" s="18"/>
      <c r="Q336" s="27"/>
      <c r="R336" s="22"/>
      <c r="S336" s="27"/>
      <c r="T336" s="47"/>
    </row>
    <row r="337" spans="1:20" s="19" customFormat="1" ht="15.75" x14ac:dyDescent="0.2">
      <c r="A337" s="112"/>
      <c r="B337" s="93"/>
      <c r="C337" s="93" t="s">
        <v>87</v>
      </c>
      <c r="D337" s="94" t="s">
        <v>430</v>
      </c>
      <c r="E337" s="95"/>
      <c r="F337" s="95" t="s">
        <v>313</v>
      </c>
      <c r="G337" s="96">
        <f>K9+60</f>
        <v>60</v>
      </c>
      <c r="H337" s="96">
        <f>G337+J337</f>
        <v>80</v>
      </c>
      <c r="I337" s="97"/>
      <c r="J337" s="98">
        <v>20</v>
      </c>
      <c r="K337" s="99" t="str">
        <f t="shared" si="105"/>
        <v>X</v>
      </c>
      <c r="L337" s="99" t="str">
        <f t="shared" si="106"/>
        <v/>
      </c>
      <c r="M337" s="99" t="str">
        <f t="shared" si="107"/>
        <v/>
      </c>
      <c r="N337" s="95"/>
      <c r="O337" s="100"/>
      <c r="P337" s="103"/>
      <c r="Q337" s="101"/>
      <c r="R337" s="101"/>
      <c r="S337" s="102"/>
      <c r="T337" s="95"/>
    </row>
    <row r="338" spans="1:20" s="19" customFormat="1" ht="15.75" x14ac:dyDescent="0.2">
      <c r="A338" s="29"/>
      <c r="B338" s="29"/>
      <c r="C338" s="29" t="s">
        <v>87</v>
      </c>
      <c r="D338" s="32" t="s">
        <v>270</v>
      </c>
      <c r="E338" s="30"/>
      <c r="F338" s="30" t="s">
        <v>313</v>
      </c>
      <c r="G338" s="31">
        <f>K33+60</f>
        <v>60</v>
      </c>
      <c r="H338" s="116">
        <f t="shared" ref="H338:H344" si="109">G338+J338</f>
        <v>120</v>
      </c>
      <c r="I338" s="31"/>
      <c r="J338" s="118">
        <v>60</v>
      </c>
      <c r="K338" s="117" t="str">
        <f t="shared" si="105"/>
        <v>X</v>
      </c>
      <c r="L338" s="117" t="str">
        <f t="shared" si="106"/>
        <v/>
      </c>
      <c r="M338" s="117" t="str">
        <f t="shared" si="107"/>
        <v/>
      </c>
      <c r="N338" s="47"/>
      <c r="O338" s="22"/>
      <c r="P338" s="18"/>
      <c r="Q338" s="27"/>
      <c r="R338" s="22"/>
      <c r="S338" s="27"/>
      <c r="T338" s="47"/>
    </row>
    <row r="339" spans="1:20" s="19" customFormat="1" ht="15.75" x14ac:dyDescent="0.2">
      <c r="A339" s="29"/>
      <c r="B339" s="29"/>
      <c r="C339" s="29" t="s">
        <v>87</v>
      </c>
      <c r="D339" s="32" t="s">
        <v>271</v>
      </c>
      <c r="E339" s="30"/>
      <c r="F339" s="30" t="s">
        <v>313</v>
      </c>
      <c r="G339" s="31">
        <f>K33+60</f>
        <v>60</v>
      </c>
      <c r="H339" s="116">
        <f t="shared" si="109"/>
        <v>90</v>
      </c>
      <c r="I339" s="31"/>
      <c r="J339" s="118">
        <v>30</v>
      </c>
      <c r="K339" s="117" t="str">
        <f t="shared" si="105"/>
        <v>X</v>
      </c>
      <c r="L339" s="117" t="str">
        <f t="shared" si="106"/>
        <v/>
      </c>
      <c r="M339" s="117" t="str">
        <f t="shared" si="107"/>
        <v/>
      </c>
      <c r="N339" s="47"/>
      <c r="O339" s="22"/>
      <c r="P339" s="18"/>
      <c r="Q339" s="27"/>
      <c r="R339" s="22"/>
      <c r="S339" s="27"/>
      <c r="T339" s="47"/>
    </row>
    <row r="340" spans="1:20" s="19" customFormat="1" ht="15.75" x14ac:dyDescent="0.2">
      <c r="A340" s="29"/>
      <c r="B340" s="29"/>
      <c r="C340" s="29" t="s">
        <v>87</v>
      </c>
      <c r="D340" s="32" t="s">
        <v>272</v>
      </c>
      <c r="E340" s="30"/>
      <c r="F340" s="30" t="s">
        <v>121</v>
      </c>
      <c r="G340" s="31">
        <f>K33+91</f>
        <v>91</v>
      </c>
      <c r="H340" s="116">
        <f t="shared" si="109"/>
        <v>211</v>
      </c>
      <c r="I340" s="31"/>
      <c r="J340" s="118">
        <v>120</v>
      </c>
      <c r="K340" s="117" t="str">
        <f t="shared" si="105"/>
        <v>X</v>
      </c>
      <c r="L340" s="117" t="str">
        <f t="shared" si="106"/>
        <v/>
      </c>
      <c r="M340" s="117" t="str">
        <f t="shared" si="107"/>
        <v/>
      </c>
      <c r="N340" s="47"/>
      <c r="O340" s="22"/>
      <c r="P340" s="18"/>
      <c r="Q340" s="27"/>
      <c r="R340" s="22"/>
      <c r="S340" s="27"/>
      <c r="T340" s="47"/>
    </row>
    <row r="341" spans="1:20" s="19" customFormat="1" ht="15.75" x14ac:dyDescent="0.2">
      <c r="A341" s="29"/>
      <c r="B341" s="29"/>
      <c r="C341" s="29" t="s">
        <v>87</v>
      </c>
      <c r="D341" s="32" t="s">
        <v>273</v>
      </c>
      <c r="E341" s="30"/>
      <c r="F341" s="30" t="s">
        <v>121</v>
      </c>
      <c r="G341" s="31">
        <f>K33+91</f>
        <v>91</v>
      </c>
      <c r="H341" s="116">
        <f t="shared" si="109"/>
        <v>121</v>
      </c>
      <c r="I341" s="31"/>
      <c r="J341" s="118">
        <v>30</v>
      </c>
      <c r="K341" s="117" t="str">
        <f t="shared" si="105"/>
        <v>X</v>
      </c>
      <c r="L341" s="117" t="str">
        <f t="shared" si="106"/>
        <v/>
      </c>
      <c r="M341" s="117" t="str">
        <f t="shared" si="107"/>
        <v/>
      </c>
      <c r="N341" s="47"/>
      <c r="O341" s="22"/>
      <c r="P341" s="18"/>
      <c r="Q341" s="27"/>
      <c r="R341" s="22"/>
      <c r="S341" s="27"/>
      <c r="T341" s="47"/>
    </row>
    <row r="342" spans="1:20" s="19" customFormat="1" ht="15.75" x14ac:dyDescent="0.2">
      <c r="A342" s="29"/>
      <c r="B342" s="29"/>
      <c r="C342" s="29" t="s">
        <v>87</v>
      </c>
      <c r="D342" s="32" t="s">
        <v>274</v>
      </c>
      <c r="E342" s="30"/>
      <c r="F342" s="30" t="s">
        <v>121</v>
      </c>
      <c r="G342" s="31">
        <f>K33+91</f>
        <v>91</v>
      </c>
      <c r="H342" s="116">
        <f t="shared" si="109"/>
        <v>106</v>
      </c>
      <c r="I342" s="31"/>
      <c r="J342" s="118">
        <v>15</v>
      </c>
      <c r="K342" s="117" t="str">
        <f t="shared" si="105"/>
        <v>X</v>
      </c>
      <c r="L342" s="117" t="str">
        <f t="shared" si="106"/>
        <v/>
      </c>
      <c r="M342" s="117" t="str">
        <f t="shared" si="107"/>
        <v/>
      </c>
      <c r="N342" s="47"/>
      <c r="O342" s="22"/>
      <c r="P342" s="18"/>
      <c r="Q342" s="27"/>
      <c r="R342" s="22"/>
      <c r="S342" s="27"/>
      <c r="T342" s="47"/>
    </row>
    <row r="343" spans="1:20" s="19" customFormat="1" ht="15.75" x14ac:dyDescent="0.2">
      <c r="A343" s="29"/>
      <c r="B343" s="29"/>
      <c r="C343" s="29" t="s">
        <v>87</v>
      </c>
      <c r="D343" s="32" t="s">
        <v>275</v>
      </c>
      <c r="E343" s="30"/>
      <c r="F343" s="30" t="s">
        <v>121</v>
      </c>
      <c r="G343" s="31">
        <f>K33+91</f>
        <v>91</v>
      </c>
      <c r="H343" s="116">
        <f t="shared" si="109"/>
        <v>96</v>
      </c>
      <c r="I343" s="31"/>
      <c r="J343" s="118">
        <v>5</v>
      </c>
      <c r="K343" s="117" t="str">
        <f t="shared" si="105"/>
        <v>X</v>
      </c>
      <c r="L343" s="117" t="str">
        <f t="shared" si="106"/>
        <v/>
      </c>
      <c r="M343" s="117" t="str">
        <f t="shared" si="107"/>
        <v/>
      </c>
      <c r="N343" s="47"/>
      <c r="O343" s="22"/>
      <c r="P343" s="18"/>
      <c r="Q343" s="27"/>
      <c r="R343" s="22"/>
      <c r="S343" s="27"/>
      <c r="T343" s="47"/>
    </row>
    <row r="344" spans="1:20" s="19" customFormat="1" ht="30" x14ac:dyDescent="0.2">
      <c r="A344" s="29"/>
      <c r="B344" s="29"/>
      <c r="C344" s="29" t="s">
        <v>87</v>
      </c>
      <c r="D344" s="32" t="s">
        <v>276</v>
      </c>
      <c r="E344" s="30"/>
      <c r="F344" s="30" t="s">
        <v>121</v>
      </c>
      <c r="G344" s="31">
        <f>K33+91</f>
        <v>91</v>
      </c>
      <c r="H344" s="116">
        <f t="shared" si="109"/>
        <v>151</v>
      </c>
      <c r="I344" s="31"/>
      <c r="J344" s="118">
        <v>60</v>
      </c>
      <c r="K344" s="117" t="str">
        <f t="shared" si="105"/>
        <v>X</v>
      </c>
      <c r="L344" s="117" t="str">
        <f t="shared" si="106"/>
        <v/>
      </c>
      <c r="M344" s="117" t="str">
        <f t="shared" si="107"/>
        <v/>
      </c>
      <c r="N344" s="47"/>
      <c r="O344" s="22"/>
      <c r="P344" s="18"/>
      <c r="Q344" s="27"/>
      <c r="R344" s="22"/>
      <c r="S344" s="27"/>
      <c r="T344" s="47"/>
    </row>
    <row r="345" spans="1:20" s="19" customFormat="1" ht="15.75" x14ac:dyDescent="0.2">
      <c r="A345" s="112"/>
      <c r="B345" s="93"/>
      <c r="C345" s="93" t="s">
        <v>87</v>
      </c>
      <c r="D345" s="94" t="s">
        <v>432</v>
      </c>
      <c r="E345" s="95"/>
      <c r="F345" s="95" t="s">
        <v>313</v>
      </c>
      <c r="G345" s="96">
        <f>K17+60</f>
        <v>60</v>
      </c>
      <c r="H345" s="96">
        <f>G345+J345</f>
        <v>80</v>
      </c>
      <c r="I345" s="97"/>
      <c r="J345" s="98">
        <v>20</v>
      </c>
      <c r="K345" s="99" t="str">
        <f t="shared" si="102"/>
        <v>X</v>
      </c>
      <c r="L345" s="99" t="str">
        <f t="shared" si="103"/>
        <v/>
      </c>
      <c r="M345" s="99" t="str">
        <f t="shared" si="104"/>
        <v/>
      </c>
      <c r="N345" s="95"/>
      <c r="O345" s="100"/>
      <c r="P345" s="103"/>
      <c r="Q345" s="101"/>
      <c r="R345" s="101"/>
      <c r="S345" s="102"/>
      <c r="T345" s="95"/>
    </row>
    <row r="346" spans="1:20" s="19" customFormat="1" ht="15.75" x14ac:dyDescent="0.2">
      <c r="A346" s="29"/>
      <c r="B346" s="29"/>
      <c r="C346" s="29" t="s">
        <v>87</v>
      </c>
      <c r="D346" s="32" t="s">
        <v>270</v>
      </c>
      <c r="E346" s="30"/>
      <c r="F346" s="30" t="s">
        <v>313</v>
      </c>
      <c r="G346" s="31">
        <f>K41+60</f>
        <v>60</v>
      </c>
      <c r="H346" s="116">
        <f t="shared" si="101"/>
        <v>120</v>
      </c>
      <c r="I346" s="31"/>
      <c r="J346" s="118">
        <v>60</v>
      </c>
      <c r="K346" s="117" t="str">
        <f t="shared" si="102"/>
        <v>X</v>
      </c>
      <c r="L346" s="117" t="str">
        <f t="shared" si="103"/>
        <v/>
      </c>
      <c r="M346" s="117" t="str">
        <f t="shared" si="104"/>
        <v/>
      </c>
      <c r="N346" s="47"/>
      <c r="O346" s="22"/>
      <c r="P346" s="18"/>
      <c r="Q346" s="27"/>
      <c r="R346" s="22"/>
      <c r="S346" s="27"/>
      <c r="T346" s="47"/>
    </row>
    <row r="347" spans="1:20" s="19" customFormat="1" ht="15.75" x14ac:dyDescent="0.2">
      <c r="A347" s="29"/>
      <c r="B347" s="29"/>
      <c r="C347" s="29" t="s">
        <v>87</v>
      </c>
      <c r="D347" s="32" t="s">
        <v>271</v>
      </c>
      <c r="E347" s="30"/>
      <c r="F347" s="30" t="s">
        <v>313</v>
      </c>
      <c r="G347" s="31">
        <f>K41+60</f>
        <v>60</v>
      </c>
      <c r="H347" s="116">
        <f t="shared" si="101"/>
        <v>90</v>
      </c>
      <c r="I347" s="31"/>
      <c r="J347" s="118">
        <v>30</v>
      </c>
      <c r="K347" s="117" t="str">
        <f t="shared" si="102"/>
        <v>X</v>
      </c>
      <c r="L347" s="117" t="str">
        <f t="shared" si="103"/>
        <v/>
      </c>
      <c r="M347" s="117" t="str">
        <f t="shared" si="104"/>
        <v/>
      </c>
      <c r="N347" s="47"/>
      <c r="O347" s="22"/>
      <c r="P347" s="18"/>
      <c r="Q347" s="27"/>
      <c r="R347" s="22"/>
      <c r="S347" s="27"/>
      <c r="T347" s="47"/>
    </row>
    <row r="348" spans="1:20" s="19" customFormat="1" ht="15.75" x14ac:dyDescent="0.2">
      <c r="A348" s="29"/>
      <c r="B348" s="29"/>
      <c r="C348" s="29" t="s">
        <v>87</v>
      </c>
      <c r="D348" s="32" t="s">
        <v>272</v>
      </c>
      <c r="E348" s="30"/>
      <c r="F348" s="30" t="s">
        <v>121</v>
      </c>
      <c r="G348" s="31">
        <f>K41+91</f>
        <v>91</v>
      </c>
      <c r="H348" s="116">
        <f t="shared" si="101"/>
        <v>211</v>
      </c>
      <c r="I348" s="31"/>
      <c r="J348" s="118">
        <v>120</v>
      </c>
      <c r="K348" s="117" t="str">
        <f t="shared" si="102"/>
        <v>X</v>
      </c>
      <c r="L348" s="117" t="str">
        <f t="shared" si="103"/>
        <v/>
      </c>
      <c r="M348" s="117" t="str">
        <f t="shared" si="104"/>
        <v/>
      </c>
      <c r="N348" s="47"/>
      <c r="O348" s="22"/>
      <c r="P348" s="18"/>
      <c r="Q348" s="27"/>
      <c r="R348" s="22"/>
      <c r="S348" s="27"/>
      <c r="T348" s="47"/>
    </row>
    <row r="349" spans="1:20" s="19" customFormat="1" ht="15.75" x14ac:dyDescent="0.2">
      <c r="A349" s="29"/>
      <c r="B349" s="29"/>
      <c r="C349" s="29" t="s">
        <v>87</v>
      </c>
      <c r="D349" s="32" t="s">
        <v>273</v>
      </c>
      <c r="E349" s="30"/>
      <c r="F349" s="30" t="s">
        <v>121</v>
      </c>
      <c r="G349" s="31">
        <f>K41+91</f>
        <v>91</v>
      </c>
      <c r="H349" s="116">
        <f t="shared" si="101"/>
        <v>121</v>
      </c>
      <c r="I349" s="31"/>
      <c r="J349" s="118">
        <v>30</v>
      </c>
      <c r="K349" s="117" t="str">
        <f t="shared" si="102"/>
        <v>X</v>
      </c>
      <c r="L349" s="117" t="str">
        <f t="shared" si="103"/>
        <v/>
      </c>
      <c r="M349" s="117" t="str">
        <f t="shared" si="104"/>
        <v/>
      </c>
      <c r="N349" s="47"/>
      <c r="O349" s="22"/>
      <c r="P349" s="18"/>
      <c r="Q349" s="27"/>
      <c r="R349" s="22"/>
      <c r="S349" s="27"/>
      <c r="T349" s="47"/>
    </row>
    <row r="350" spans="1:20" s="19" customFormat="1" ht="15.75" x14ac:dyDescent="0.2">
      <c r="A350" s="29"/>
      <c r="B350" s="29"/>
      <c r="C350" s="29" t="s">
        <v>87</v>
      </c>
      <c r="D350" s="32" t="s">
        <v>274</v>
      </c>
      <c r="E350" s="30"/>
      <c r="F350" s="30" t="s">
        <v>121</v>
      </c>
      <c r="G350" s="31">
        <f>K41+91</f>
        <v>91</v>
      </c>
      <c r="H350" s="116">
        <f t="shared" si="101"/>
        <v>106</v>
      </c>
      <c r="I350" s="31"/>
      <c r="J350" s="118">
        <v>15</v>
      </c>
      <c r="K350" s="117" t="str">
        <f t="shared" si="102"/>
        <v>X</v>
      </c>
      <c r="L350" s="117" t="str">
        <f t="shared" si="103"/>
        <v/>
      </c>
      <c r="M350" s="117" t="str">
        <f t="shared" si="104"/>
        <v/>
      </c>
      <c r="N350" s="47"/>
      <c r="O350" s="22"/>
      <c r="P350" s="18"/>
      <c r="Q350" s="27"/>
      <c r="R350" s="22"/>
      <c r="S350" s="27"/>
      <c r="T350" s="47"/>
    </row>
    <row r="351" spans="1:20" s="19" customFormat="1" ht="15.75" x14ac:dyDescent="0.2">
      <c r="A351" s="29"/>
      <c r="B351" s="29"/>
      <c r="C351" s="29" t="s">
        <v>87</v>
      </c>
      <c r="D351" s="32" t="s">
        <v>275</v>
      </c>
      <c r="E351" s="30"/>
      <c r="F351" s="30" t="s">
        <v>121</v>
      </c>
      <c r="G351" s="31">
        <f>K41+91</f>
        <v>91</v>
      </c>
      <c r="H351" s="116">
        <f t="shared" si="101"/>
        <v>96</v>
      </c>
      <c r="I351" s="31"/>
      <c r="J351" s="118">
        <v>5</v>
      </c>
      <c r="K351" s="117" t="str">
        <f t="shared" si="102"/>
        <v>X</v>
      </c>
      <c r="L351" s="117" t="str">
        <f t="shared" si="103"/>
        <v/>
      </c>
      <c r="M351" s="117" t="str">
        <f t="shared" si="104"/>
        <v/>
      </c>
      <c r="N351" s="47"/>
      <c r="O351" s="22"/>
      <c r="P351" s="18"/>
      <c r="Q351" s="27"/>
      <c r="R351" s="22"/>
      <c r="S351" s="27"/>
      <c r="T351" s="47"/>
    </row>
    <row r="352" spans="1:20" s="19" customFormat="1" ht="30" x14ac:dyDescent="0.2">
      <c r="A352" s="29"/>
      <c r="B352" s="29"/>
      <c r="C352" s="29" t="s">
        <v>87</v>
      </c>
      <c r="D352" s="32" t="s">
        <v>276</v>
      </c>
      <c r="E352" s="30"/>
      <c r="F352" s="30" t="s">
        <v>121</v>
      </c>
      <c r="G352" s="31">
        <f>K41+91</f>
        <v>91</v>
      </c>
      <c r="H352" s="116">
        <f t="shared" si="101"/>
        <v>151</v>
      </c>
      <c r="I352" s="31"/>
      <c r="J352" s="118">
        <v>60</v>
      </c>
      <c r="K352" s="117" t="str">
        <f t="shared" si="102"/>
        <v>X</v>
      </c>
      <c r="L352" s="117" t="str">
        <f t="shared" si="103"/>
        <v/>
      </c>
      <c r="M352" s="117" t="str">
        <f t="shared" si="104"/>
        <v/>
      </c>
      <c r="N352" s="47"/>
      <c r="O352" s="22"/>
      <c r="P352" s="18"/>
      <c r="Q352" s="27"/>
      <c r="R352" s="22"/>
      <c r="S352" s="27"/>
      <c r="T352" s="47"/>
    </row>
    <row r="353" spans="1:20" s="19" customFormat="1" ht="15.75" x14ac:dyDescent="0.2">
      <c r="A353" s="155"/>
      <c r="B353" s="156"/>
      <c r="C353" s="156" t="s">
        <v>87</v>
      </c>
      <c r="D353" s="157" t="s">
        <v>423</v>
      </c>
      <c r="E353" s="158"/>
      <c r="F353" s="158" t="s">
        <v>312</v>
      </c>
      <c r="G353" s="159" t="str">
        <f>K52</f>
        <v/>
      </c>
      <c r="H353" s="159" t="e">
        <f>G353+J353</f>
        <v>#VALUE!</v>
      </c>
      <c r="I353" s="160"/>
      <c r="J353" s="161">
        <v>178</v>
      </c>
      <c r="K353" s="162" t="e">
        <f t="shared" si="102"/>
        <v>#VALUE!</v>
      </c>
      <c r="L353" s="162" t="e">
        <f t="shared" si="103"/>
        <v>#VALUE!</v>
      </c>
      <c r="M353" s="162" t="e">
        <f t="shared" si="104"/>
        <v>#VALUE!</v>
      </c>
      <c r="N353" s="158"/>
      <c r="O353" s="163"/>
      <c r="P353" s="103"/>
      <c r="Q353" s="164"/>
      <c r="R353" s="164"/>
      <c r="S353" s="165"/>
      <c r="T353" s="158"/>
    </row>
    <row r="354" spans="1:20" s="19" customFormat="1" ht="15.75" x14ac:dyDescent="0.2">
      <c r="A354" s="112"/>
      <c r="B354" s="93"/>
      <c r="C354" s="93" t="s">
        <v>87</v>
      </c>
      <c r="D354" s="94" t="s">
        <v>431</v>
      </c>
      <c r="E354" s="95"/>
      <c r="F354" s="95" t="s">
        <v>313</v>
      </c>
      <c r="G354" s="96">
        <f>K18+60</f>
        <v>60</v>
      </c>
      <c r="H354" s="96">
        <f>G354+J354</f>
        <v>80</v>
      </c>
      <c r="I354" s="97"/>
      <c r="J354" s="98">
        <v>20</v>
      </c>
      <c r="K354" s="99" t="str">
        <f t="shared" si="102"/>
        <v>X</v>
      </c>
      <c r="L354" s="99" t="str">
        <f t="shared" si="103"/>
        <v/>
      </c>
      <c r="M354" s="99" t="str">
        <f t="shared" si="104"/>
        <v/>
      </c>
      <c r="N354" s="95"/>
      <c r="O354" s="100"/>
      <c r="P354" s="103"/>
      <c r="Q354" s="101"/>
      <c r="R354" s="101"/>
      <c r="S354" s="102"/>
      <c r="T354" s="95"/>
    </row>
    <row r="355" spans="1:20" s="19" customFormat="1" ht="15.75" x14ac:dyDescent="0.2">
      <c r="A355" s="29"/>
      <c r="B355" s="29"/>
      <c r="C355" s="29" t="s">
        <v>87</v>
      </c>
      <c r="D355" s="32" t="s">
        <v>270</v>
      </c>
      <c r="E355" s="30"/>
      <c r="F355" s="30" t="s">
        <v>313</v>
      </c>
      <c r="G355" s="31">
        <f>K42+60</f>
        <v>60</v>
      </c>
      <c r="H355" s="116">
        <f t="shared" ref="H355:H361" si="110">G355+J355</f>
        <v>120</v>
      </c>
      <c r="I355" s="31"/>
      <c r="J355" s="118">
        <v>60</v>
      </c>
      <c r="K355" s="117" t="str">
        <f t="shared" si="102"/>
        <v>X</v>
      </c>
      <c r="L355" s="117" t="str">
        <f t="shared" si="103"/>
        <v/>
      </c>
      <c r="M355" s="117" t="str">
        <f t="shared" si="104"/>
        <v/>
      </c>
      <c r="N355" s="47"/>
      <c r="O355" s="22"/>
      <c r="P355" s="18"/>
      <c r="Q355" s="27"/>
      <c r="R355" s="22"/>
      <c r="S355" s="27"/>
      <c r="T355" s="47"/>
    </row>
    <row r="356" spans="1:20" s="19" customFormat="1" ht="15.75" x14ac:dyDescent="0.2">
      <c r="A356" s="29"/>
      <c r="B356" s="29"/>
      <c r="C356" s="29" t="s">
        <v>87</v>
      </c>
      <c r="D356" s="32" t="s">
        <v>271</v>
      </c>
      <c r="E356" s="30"/>
      <c r="F356" s="30" t="s">
        <v>313</v>
      </c>
      <c r="G356" s="31">
        <f>K42+60</f>
        <v>60</v>
      </c>
      <c r="H356" s="116">
        <f t="shared" si="110"/>
        <v>90</v>
      </c>
      <c r="I356" s="31"/>
      <c r="J356" s="118">
        <v>30</v>
      </c>
      <c r="K356" s="117" t="str">
        <f t="shared" si="102"/>
        <v>X</v>
      </c>
      <c r="L356" s="117" t="str">
        <f t="shared" si="103"/>
        <v/>
      </c>
      <c r="M356" s="117" t="str">
        <f t="shared" si="104"/>
        <v/>
      </c>
      <c r="N356" s="47"/>
      <c r="O356" s="22"/>
      <c r="P356" s="18"/>
      <c r="Q356" s="27"/>
      <c r="R356" s="22"/>
      <c r="S356" s="27"/>
      <c r="T356" s="47"/>
    </row>
    <row r="357" spans="1:20" s="19" customFormat="1" ht="15.75" x14ac:dyDescent="0.2">
      <c r="A357" s="29"/>
      <c r="B357" s="29"/>
      <c r="C357" s="29" t="s">
        <v>87</v>
      </c>
      <c r="D357" s="32" t="s">
        <v>272</v>
      </c>
      <c r="E357" s="30"/>
      <c r="F357" s="30" t="s">
        <v>121</v>
      </c>
      <c r="G357" s="31">
        <f>K42+91</f>
        <v>91</v>
      </c>
      <c r="H357" s="116">
        <f t="shared" si="110"/>
        <v>211</v>
      </c>
      <c r="I357" s="31"/>
      <c r="J357" s="118">
        <v>120</v>
      </c>
      <c r="K357" s="117" t="str">
        <f t="shared" si="102"/>
        <v>X</v>
      </c>
      <c r="L357" s="117" t="str">
        <f t="shared" si="103"/>
        <v/>
      </c>
      <c r="M357" s="117" t="str">
        <f t="shared" si="104"/>
        <v/>
      </c>
      <c r="N357" s="47"/>
      <c r="O357" s="22"/>
      <c r="P357" s="18"/>
      <c r="Q357" s="27"/>
      <c r="R357" s="22"/>
      <c r="S357" s="27"/>
      <c r="T357" s="47"/>
    </row>
    <row r="358" spans="1:20" s="19" customFormat="1" ht="15.75" x14ac:dyDescent="0.2">
      <c r="A358" s="29"/>
      <c r="B358" s="29"/>
      <c r="C358" s="29" t="s">
        <v>87</v>
      </c>
      <c r="D358" s="32" t="s">
        <v>273</v>
      </c>
      <c r="E358" s="30"/>
      <c r="F358" s="30" t="s">
        <v>121</v>
      </c>
      <c r="G358" s="31">
        <f>K42+91</f>
        <v>91</v>
      </c>
      <c r="H358" s="116">
        <f t="shared" si="110"/>
        <v>121</v>
      </c>
      <c r="I358" s="31"/>
      <c r="J358" s="118">
        <v>30</v>
      </c>
      <c r="K358" s="117" t="str">
        <f t="shared" si="102"/>
        <v>X</v>
      </c>
      <c r="L358" s="117" t="str">
        <f t="shared" si="103"/>
        <v/>
      </c>
      <c r="M358" s="117" t="str">
        <f t="shared" si="104"/>
        <v/>
      </c>
      <c r="N358" s="47"/>
      <c r="O358" s="22"/>
      <c r="P358" s="18"/>
      <c r="Q358" s="27"/>
      <c r="R358" s="22"/>
      <c r="S358" s="27"/>
      <c r="T358" s="47"/>
    </row>
    <row r="359" spans="1:20" s="19" customFormat="1" ht="15.75" x14ac:dyDescent="0.2">
      <c r="A359" s="29"/>
      <c r="B359" s="29"/>
      <c r="C359" s="29" t="s">
        <v>87</v>
      </c>
      <c r="D359" s="32" t="s">
        <v>274</v>
      </c>
      <c r="E359" s="30"/>
      <c r="F359" s="30" t="s">
        <v>121</v>
      </c>
      <c r="G359" s="31">
        <f>K42+91</f>
        <v>91</v>
      </c>
      <c r="H359" s="116">
        <f t="shared" si="110"/>
        <v>106</v>
      </c>
      <c r="I359" s="31"/>
      <c r="J359" s="118">
        <v>15</v>
      </c>
      <c r="K359" s="117" t="str">
        <f t="shared" si="102"/>
        <v>X</v>
      </c>
      <c r="L359" s="117" t="str">
        <f t="shared" si="103"/>
        <v/>
      </c>
      <c r="M359" s="117" t="str">
        <f t="shared" si="104"/>
        <v/>
      </c>
      <c r="N359" s="47"/>
      <c r="O359" s="22"/>
      <c r="P359" s="18"/>
      <c r="Q359" s="27"/>
      <c r="R359" s="22"/>
      <c r="S359" s="27"/>
      <c r="T359" s="47"/>
    </row>
    <row r="360" spans="1:20" s="19" customFormat="1" ht="15.75" x14ac:dyDescent="0.2">
      <c r="A360" s="29"/>
      <c r="B360" s="29"/>
      <c r="C360" s="29" t="s">
        <v>87</v>
      </c>
      <c r="D360" s="32" t="s">
        <v>275</v>
      </c>
      <c r="E360" s="30"/>
      <c r="F360" s="30" t="s">
        <v>121</v>
      </c>
      <c r="G360" s="31">
        <f>K42+91</f>
        <v>91</v>
      </c>
      <c r="H360" s="116">
        <f t="shared" si="110"/>
        <v>96</v>
      </c>
      <c r="I360" s="31"/>
      <c r="J360" s="118">
        <v>5</v>
      </c>
      <c r="K360" s="117" t="str">
        <f t="shared" si="102"/>
        <v>X</v>
      </c>
      <c r="L360" s="117" t="str">
        <f t="shared" si="103"/>
        <v/>
      </c>
      <c r="M360" s="117" t="str">
        <f t="shared" si="104"/>
        <v/>
      </c>
      <c r="N360" s="47"/>
      <c r="O360" s="22"/>
      <c r="P360" s="18"/>
      <c r="Q360" s="27"/>
      <c r="R360" s="22"/>
      <c r="S360" s="27"/>
      <c r="T360" s="47"/>
    </row>
    <row r="361" spans="1:20" s="19" customFormat="1" ht="30" x14ac:dyDescent="0.2">
      <c r="A361" s="29"/>
      <c r="B361" s="29"/>
      <c r="C361" s="29" t="s">
        <v>87</v>
      </c>
      <c r="D361" s="32" t="s">
        <v>276</v>
      </c>
      <c r="E361" s="30"/>
      <c r="F361" s="30" t="s">
        <v>121</v>
      </c>
      <c r="G361" s="31">
        <f>K42+91</f>
        <v>91</v>
      </c>
      <c r="H361" s="116">
        <f t="shared" si="110"/>
        <v>151</v>
      </c>
      <c r="I361" s="31"/>
      <c r="J361" s="118">
        <v>60</v>
      </c>
      <c r="K361" s="117" t="str">
        <f t="shared" si="102"/>
        <v>X</v>
      </c>
      <c r="L361" s="117" t="str">
        <f t="shared" si="103"/>
        <v/>
      </c>
      <c r="M361" s="117" t="str">
        <f t="shared" si="104"/>
        <v/>
      </c>
      <c r="N361" s="47"/>
      <c r="O361" s="22"/>
      <c r="P361" s="18"/>
      <c r="Q361" s="27"/>
      <c r="R361" s="22"/>
      <c r="S361" s="27"/>
      <c r="T361" s="47"/>
    </row>
    <row r="362" spans="1:20" s="19" customFormat="1" ht="15.75" x14ac:dyDescent="0.2">
      <c r="A362" s="112"/>
      <c r="B362" s="93"/>
      <c r="C362" s="93" t="s">
        <v>87</v>
      </c>
      <c r="D362" s="94" t="s">
        <v>433</v>
      </c>
      <c r="E362" s="95"/>
      <c r="F362" s="95" t="s">
        <v>313</v>
      </c>
      <c r="G362" s="96">
        <f>K26+60</f>
        <v>60</v>
      </c>
      <c r="H362" s="96">
        <f>G362+J362</f>
        <v>80</v>
      </c>
      <c r="I362" s="97"/>
      <c r="J362" s="98">
        <v>20</v>
      </c>
      <c r="K362" s="99" t="str">
        <f t="shared" ref="K362:K369" si="111">IF(H362=0,"",IF(H362&lt;=$K$7, "X", ""))</f>
        <v>X</v>
      </c>
      <c r="L362" s="99" t="str">
        <f t="shared" ref="L362:L369" si="112">IF(H362&lt;$K$7, "",IF(H362&lt;=$L$7,"X", ""))</f>
        <v/>
      </c>
      <c r="M362" s="99" t="str">
        <f t="shared" ref="M362:M369" si="113">IF(H362&lt;$L$7, "",IF(H362&gt;$L$7,"X", ""))</f>
        <v/>
      </c>
      <c r="N362" s="95"/>
      <c r="O362" s="100"/>
      <c r="P362" s="103"/>
      <c r="Q362" s="101"/>
      <c r="R362" s="101"/>
      <c r="S362" s="102"/>
      <c r="T362" s="95"/>
    </row>
    <row r="363" spans="1:20" s="19" customFormat="1" ht="15.75" x14ac:dyDescent="0.2">
      <c r="A363" s="29"/>
      <c r="B363" s="29"/>
      <c r="C363" s="29" t="s">
        <v>87</v>
      </c>
      <c r="D363" s="32" t="s">
        <v>270</v>
      </c>
      <c r="E363" s="30"/>
      <c r="F363" s="30" t="s">
        <v>313</v>
      </c>
      <c r="G363" s="31" t="e">
        <f>K50+60</f>
        <v>#VALUE!</v>
      </c>
      <c r="H363" s="116" t="e">
        <f t="shared" ref="H363:H369" si="114">G363+J363</f>
        <v>#VALUE!</v>
      </c>
      <c r="I363" s="31"/>
      <c r="J363" s="118">
        <v>60</v>
      </c>
      <c r="K363" s="117" t="e">
        <f t="shared" si="111"/>
        <v>#VALUE!</v>
      </c>
      <c r="L363" s="117" t="e">
        <f t="shared" si="112"/>
        <v>#VALUE!</v>
      </c>
      <c r="M363" s="117" t="e">
        <f t="shared" si="113"/>
        <v>#VALUE!</v>
      </c>
      <c r="N363" s="47"/>
      <c r="O363" s="22"/>
      <c r="P363" s="18"/>
      <c r="Q363" s="27"/>
      <c r="R363" s="22"/>
      <c r="S363" s="27"/>
      <c r="T363" s="47"/>
    </row>
    <row r="364" spans="1:20" s="19" customFormat="1" ht="15.75" x14ac:dyDescent="0.2">
      <c r="A364" s="29"/>
      <c r="B364" s="29"/>
      <c r="C364" s="29" t="s">
        <v>87</v>
      </c>
      <c r="D364" s="32" t="s">
        <v>271</v>
      </c>
      <c r="E364" s="30"/>
      <c r="F364" s="30" t="s">
        <v>313</v>
      </c>
      <c r="G364" s="31" t="e">
        <f>K50+60</f>
        <v>#VALUE!</v>
      </c>
      <c r="H364" s="116" t="e">
        <f t="shared" si="114"/>
        <v>#VALUE!</v>
      </c>
      <c r="I364" s="31"/>
      <c r="J364" s="118">
        <v>30</v>
      </c>
      <c r="K364" s="117" t="e">
        <f t="shared" si="111"/>
        <v>#VALUE!</v>
      </c>
      <c r="L364" s="117" t="e">
        <f t="shared" si="112"/>
        <v>#VALUE!</v>
      </c>
      <c r="M364" s="117" t="e">
        <f t="shared" si="113"/>
        <v>#VALUE!</v>
      </c>
      <c r="N364" s="47"/>
      <c r="O364" s="22"/>
      <c r="P364" s="18"/>
      <c r="Q364" s="27"/>
      <c r="R364" s="22"/>
      <c r="S364" s="27"/>
      <c r="T364" s="47"/>
    </row>
    <row r="365" spans="1:20" s="19" customFormat="1" ht="15.75" x14ac:dyDescent="0.2">
      <c r="A365" s="29"/>
      <c r="B365" s="29"/>
      <c r="C365" s="29" t="s">
        <v>87</v>
      </c>
      <c r="D365" s="32" t="s">
        <v>272</v>
      </c>
      <c r="E365" s="30"/>
      <c r="F365" s="30" t="s">
        <v>121</v>
      </c>
      <c r="G365" s="31" t="e">
        <f>K50+91</f>
        <v>#VALUE!</v>
      </c>
      <c r="H365" s="116" t="e">
        <f t="shared" si="114"/>
        <v>#VALUE!</v>
      </c>
      <c r="I365" s="31"/>
      <c r="J365" s="118">
        <v>120</v>
      </c>
      <c r="K365" s="117" t="e">
        <f t="shared" si="111"/>
        <v>#VALUE!</v>
      </c>
      <c r="L365" s="117" t="e">
        <f t="shared" si="112"/>
        <v>#VALUE!</v>
      </c>
      <c r="M365" s="117" t="e">
        <f t="shared" si="113"/>
        <v>#VALUE!</v>
      </c>
      <c r="N365" s="47"/>
      <c r="O365" s="22"/>
      <c r="P365" s="18"/>
      <c r="Q365" s="27"/>
      <c r="R365" s="22"/>
      <c r="S365" s="27"/>
      <c r="T365" s="47"/>
    </row>
    <row r="366" spans="1:20" s="19" customFormat="1" ht="15.75" x14ac:dyDescent="0.2">
      <c r="A366" s="29"/>
      <c r="B366" s="29"/>
      <c r="C366" s="29" t="s">
        <v>87</v>
      </c>
      <c r="D366" s="32" t="s">
        <v>273</v>
      </c>
      <c r="E366" s="30"/>
      <c r="F366" s="30" t="s">
        <v>121</v>
      </c>
      <c r="G366" s="31" t="e">
        <f>K50+91</f>
        <v>#VALUE!</v>
      </c>
      <c r="H366" s="116" t="e">
        <f t="shared" si="114"/>
        <v>#VALUE!</v>
      </c>
      <c r="I366" s="31"/>
      <c r="J366" s="118">
        <v>30</v>
      </c>
      <c r="K366" s="117" t="e">
        <f t="shared" si="111"/>
        <v>#VALUE!</v>
      </c>
      <c r="L366" s="117" t="e">
        <f t="shared" si="112"/>
        <v>#VALUE!</v>
      </c>
      <c r="M366" s="117" t="e">
        <f t="shared" si="113"/>
        <v>#VALUE!</v>
      </c>
      <c r="N366" s="47"/>
      <c r="O366" s="22"/>
      <c r="P366" s="18"/>
      <c r="Q366" s="27"/>
      <c r="R366" s="22"/>
      <c r="S366" s="27"/>
      <c r="T366" s="47"/>
    </row>
    <row r="367" spans="1:20" s="19" customFormat="1" ht="15.75" x14ac:dyDescent="0.2">
      <c r="A367" s="29"/>
      <c r="B367" s="29"/>
      <c r="C367" s="29" t="s">
        <v>87</v>
      </c>
      <c r="D367" s="32" t="s">
        <v>274</v>
      </c>
      <c r="E367" s="30"/>
      <c r="F367" s="30" t="s">
        <v>121</v>
      </c>
      <c r="G367" s="31" t="e">
        <f>K50+91</f>
        <v>#VALUE!</v>
      </c>
      <c r="H367" s="116" t="e">
        <f t="shared" si="114"/>
        <v>#VALUE!</v>
      </c>
      <c r="I367" s="31"/>
      <c r="J367" s="118">
        <v>15</v>
      </c>
      <c r="K367" s="117" t="e">
        <f t="shared" si="111"/>
        <v>#VALUE!</v>
      </c>
      <c r="L367" s="117" t="e">
        <f t="shared" si="112"/>
        <v>#VALUE!</v>
      </c>
      <c r="M367" s="117" t="e">
        <f t="shared" si="113"/>
        <v>#VALUE!</v>
      </c>
      <c r="N367" s="47"/>
      <c r="O367" s="22"/>
      <c r="P367" s="18"/>
      <c r="Q367" s="27"/>
      <c r="R367" s="22"/>
      <c r="S367" s="27"/>
      <c r="T367" s="47"/>
    </row>
    <row r="368" spans="1:20" s="19" customFormat="1" ht="15.75" x14ac:dyDescent="0.2">
      <c r="A368" s="29"/>
      <c r="B368" s="29"/>
      <c r="C368" s="29" t="s">
        <v>87</v>
      </c>
      <c r="D368" s="32" t="s">
        <v>275</v>
      </c>
      <c r="E368" s="30"/>
      <c r="F368" s="30" t="s">
        <v>121</v>
      </c>
      <c r="G368" s="31" t="e">
        <f>K50+91</f>
        <v>#VALUE!</v>
      </c>
      <c r="H368" s="116" t="e">
        <f t="shared" si="114"/>
        <v>#VALUE!</v>
      </c>
      <c r="I368" s="31"/>
      <c r="J368" s="118">
        <v>5</v>
      </c>
      <c r="K368" s="117" t="e">
        <f t="shared" si="111"/>
        <v>#VALUE!</v>
      </c>
      <c r="L368" s="117" t="e">
        <f t="shared" si="112"/>
        <v>#VALUE!</v>
      </c>
      <c r="M368" s="117" t="e">
        <f t="shared" si="113"/>
        <v>#VALUE!</v>
      </c>
      <c r="N368" s="47"/>
      <c r="O368" s="22"/>
      <c r="P368" s="18"/>
      <c r="Q368" s="27"/>
      <c r="R368" s="22"/>
      <c r="S368" s="27"/>
      <c r="T368" s="47"/>
    </row>
    <row r="369" spans="1:20" s="19" customFormat="1" ht="30" x14ac:dyDescent="0.2">
      <c r="A369" s="29"/>
      <c r="B369" s="29"/>
      <c r="C369" s="29" t="s">
        <v>87</v>
      </c>
      <c r="D369" s="32" t="s">
        <v>276</v>
      </c>
      <c r="E369" s="30"/>
      <c r="F369" s="30" t="s">
        <v>121</v>
      </c>
      <c r="G369" s="31" t="e">
        <f>K50+91</f>
        <v>#VALUE!</v>
      </c>
      <c r="H369" s="116" t="e">
        <f t="shared" si="114"/>
        <v>#VALUE!</v>
      </c>
      <c r="I369" s="31"/>
      <c r="J369" s="118">
        <v>60</v>
      </c>
      <c r="K369" s="117" t="e">
        <f t="shared" si="111"/>
        <v>#VALUE!</v>
      </c>
      <c r="L369" s="117" t="e">
        <f t="shared" si="112"/>
        <v>#VALUE!</v>
      </c>
      <c r="M369" s="117" t="e">
        <f t="shared" si="113"/>
        <v>#VALUE!</v>
      </c>
      <c r="N369" s="47"/>
      <c r="O369" s="22"/>
      <c r="P369" s="18"/>
      <c r="Q369" s="27"/>
      <c r="R369" s="22"/>
      <c r="S369" s="27"/>
      <c r="T369" s="47"/>
    </row>
    <row r="370" spans="1:20" s="19" customFormat="1" ht="15.75" x14ac:dyDescent="0.2">
      <c r="A370" s="155"/>
      <c r="B370" s="156"/>
      <c r="C370" s="156" t="s">
        <v>87</v>
      </c>
      <c r="D370" s="157" t="s">
        <v>434</v>
      </c>
      <c r="E370" s="158"/>
      <c r="F370" s="158" t="s">
        <v>312</v>
      </c>
      <c r="G370" s="159">
        <f>K104</f>
        <v>0</v>
      </c>
      <c r="H370" s="159">
        <f>G370+J370</f>
        <v>178</v>
      </c>
      <c r="I370" s="160"/>
      <c r="J370" s="161">
        <v>178</v>
      </c>
      <c r="K370" s="162" t="str">
        <f t="shared" ref="K370" si="115">IF(H370=0,"",IF(H370&lt;=$K$7, "X", ""))</f>
        <v>X</v>
      </c>
      <c r="L370" s="162" t="str">
        <f t="shared" ref="L370" si="116">IF(H370&lt;$K$7, "",IF(H370&lt;=$L$7,"X", ""))</f>
        <v/>
      </c>
      <c r="M370" s="162" t="str">
        <f t="shared" ref="M370" si="117">IF(H370&lt;$L$7, "",IF(H370&gt;$L$7,"X", ""))</f>
        <v/>
      </c>
      <c r="N370" s="158"/>
      <c r="O370" s="163"/>
      <c r="P370" s="103"/>
      <c r="Q370" s="164"/>
      <c r="R370" s="164"/>
      <c r="S370" s="165"/>
      <c r="T370" s="158"/>
    </row>
    <row r="371" spans="1:20" s="19" customFormat="1" ht="15.75" x14ac:dyDescent="0.2">
      <c r="A371" s="141"/>
      <c r="B371" s="142"/>
      <c r="C371" s="148" t="s">
        <v>400</v>
      </c>
      <c r="D371" s="143" t="s">
        <v>401</v>
      </c>
      <c r="E371" s="144"/>
      <c r="F371" s="144" t="s">
        <v>121</v>
      </c>
      <c r="G371" s="96"/>
      <c r="H371" s="96"/>
      <c r="I371" s="96"/>
      <c r="J371" s="145"/>
      <c r="K371" s="146"/>
      <c r="L371" s="146"/>
      <c r="M371" s="146"/>
      <c r="N371" s="144"/>
      <c r="O371" s="101"/>
      <c r="P371" s="147"/>
      <c r="Q371" s="101"/>
      <c r="R371" s="101"/>
      <c r="S371" s="102"/>
      <c r="T371" s="144"/>
    </row>
    <row r="372" spans="1:20" s="176" customFormat="1" ht="15.75" x14ac:dyDescent="0.2">
      <c r="A372" s="168"/>
      <c r="B372" s="168"/>
      <c r="C372" s="168" t="s">
        <v>87</v>
      </c>
      <c r="D372" s="169" t="s">
        <v>305</v>
      </c>
      <c r="E372" s="170"/>
      <c r="F372" s="170" t="s">
        <v>121</v>
      </c>
      <c r="G372" s="171" t="e">
        <f>#REF!+91</f>
        <v>#REF!</v>
      </c>
      <c r="H372" s="171" t="e">
        <f t="shared" ref="H372" si="118">G372+J372</f>
        <v>#REF!</v>
      </c>
      <c r="I372" s="171"/>
      <c r="J372" s="172">
        <v>60</v>
      </c>
      <c r="K372" s="173" t="e">
        <f t="shared" ref="K372" si="119">IF(H372=0,"",IF(H372&lt;=$K$7, "X", ""))</f>
        <v>#REF!</v>
      </c>
      <c r="L372" s="173" t="e">
        <f t="shared" ref="L372" si="120">IF(H372&lt;$K$7, "",IF(H372&lt;=$L$7,"X", ""))</f>
        <v>#REF!</v>
      </c>
      <c r="M372" s="173" t="e">
        <f t="shared" ref="M372" si="121">IF(H372&lt;$L$7, "",IF(H372&gt;$L$7,"X", ""))</f>
        <v>#REF!</v>
      </c>
      <c r="N372" s="174"/>
      <c r="O372" s="175"/>
      <c r="Q372" s="177"/>
      <c r="R372" s="175"/>
      <c r="S372" s="177"/>
      <c r="T372" s="174"/>
    </row>
    <row r="373" spans="1:20" s="176" customFormat="1" ht="15.75" x14ac:dyDescent="0.2">
      <c r="A373" s="168"/>
      <c r="B373" s="168"/>
      <c r="C373" s="168" t="s">
        <v>400</v>
      </c>
      <c r="D373" s="169" t="s">
        <v>293</v>
      </c>
      <c r="E373" s="170"/>
      <c r="F373" s="170" t="s">
        <v>121</v>
      </c>
      <c r="G373" s="171" t="e">
        <f>#REF!+91</f>
        <v>#REF!</v>
      </c>
      <c r="H373" s="171" t="e">
        <f t="shared" ref="H373" si="122">G373+J373</f>
        <v>#REF!</v>
      </c>
      <c r="I373" s="171"/>
      <c r="J373" s="172">
        <v>10</v>
      </c>
      <c r="K373" s="173" t="e">
        <f t="shared" ref="K373" si="123">IF(H373=0,"",IF(H373&lt;=$K$7, "X", ""))</f>
        <v>#REF!</v>
      </c>
      <c r="L373" s="173" t="e">
        <f t="shared" ref="L373" si="124">IF(H373&lt;$K$7, "",IF(H373&lt;=$L$7,"X", ""))</f>
        <v>#REF!</v>
      </c>
      <c r="M373" s="173" t="e">
        <f t="shared" ref="M373" si="125">IF(H373&lt;$L$7, "",IF(H373&gt;$L$7,"X", ""))</f>
        <v>#REF!</v>
      </c>
      <c r="N373" s="174"/>
      <c r="O373" s="175"/>
      <c r="Q373" s="177"/>
      <c r="R373" s="175"/>
      <c r="S373" s="177"/>
      <c r="T373" s="174"/>
    </row>
    <row r="374" spans="1:20" s="19" customFormat="1" ht="15.75" x14ac:dyDescent="0.2">
      <c r="A374" s="113"/>
      <c r="B374" s="21"/>
      <c r="C374" s="150" t="s">
        <v>400</v>
      </c>
      <c r="D374" s="92" t="s">
        <v>392</v>
      </c>
      <c r="E374" s="23"/>
      <c r="F374" s="23" t="s">
        <v>121</v>
      </c>
      <c r="G374" s="31"/>
      <c r="H374" s="116"/>
      <c r="I374" s="24"/>
      <c r="J374" s="118"/>
      <c r="K374" s="117"/>
      <c r="L374" s="117"/>
      <c r="M374" s="117"/>
      <c r="N374" s="25"/>
      <c r="O374" s="26"/>
      <c r="P374" s="18"/>
      <c r="Q374" s="27"/>
      <c r="R374" s="22"/>
      <c r="S374" s="28"/>
      <c r="T374" s="25"/>
    </row>
    <row r="375" spans="1:20" s="19" customFormat="1" ht="15.75" x14ac:dyDescent="0.2">
      <c r="A375" s="113"/>
      <c r="B375" s="21"/>
      <c r="C375" s="150" t="s">
        <v>400</v>
      </c>
      <c r="D375" s="92" t="s">
        <v>393</v>
      </c>
      <c r="E375" s="23"/>
      <c r="F375" s="23" t="s">
        <v>121</v>
      </c>
      <c r="G375" s="31"/>
      <c r="H375" s="116"/>
      <c r="I375" s="24"/>
      <c r="J375" s="118"/>
      <c r="K375" s="117"/>
      <c r="L375" s="117"/>
      <c r="M375" s="117"/>
      <c r="N375" s="25"/>
      <c r="O375" s="26"/>
      <c r="P375" s="18"/>
      <c r="Q375" s="27"/>
      <c r="R375" s="22"/>
      <c r="S375" s="28"/>
      <c r="T375" s="25"/>
    </row>
    <row r="376" spans="1:20" s="19" customFormat="1" ht="15.75" x14ac:dyDescent="0.2">
      <c r="A376" s="113"/>
      <c r="B376" s="21"/>
      <c r="C376" s="150" t="s">
        <v>400</v>
      </c>
      <c r="D376" s="92" t="s">
        <v>394</v>
      </c>
      <c r="E376" s="23"/>
      <c r="F376" s="23" t="s">
        <v>121</v>
      </c>
      <c r="G376" s="31"/>
      <c r="H376" s="116"/>
      <c r="I376" s="24"/>
      <c r="J376" s="118"/>
      <c r="K376" s="117"/>
      <c r="L376" s="117"/>
      <c r="M376" s="117"/>
      <c r="N376" s="25"/>
      <c r="O376" s="26"/>
      <c r="P376" s="18"/>
      <c r="Q376" s="27"/>
      <c r="R376" s="22"/>
      <c r="S376" s="28"/>
      <c r="T376" s="25"/>
    </row>
    <row r="377" spans="1:20" s="19" customFormat="1" ht="15.75" x14ac:dyDescent="0.2">
      <c r="A377" s="113"/>
      <c r="B377" s="21"/>
      <c r="C377" s="150" t="s">
        <v>400</v>
      </c>
      <c r="D377" s="92" t="s">
        <v>395</v>
      </c>
      <c r="E377" s="23"/>
      <c r="F377" s="23" t="s">
        <v>121</v>
      </c>
      <c r="G377" s="31"/>
      <c r="H377" s="116"/>
      <c r="I377" s="24"/>
      <c r="J377" s="118"/>
      <c r="K377" s="117"/>
      <c r="L377" s="117"/>
      <c r="M377" s="117"/>
      <c r="N377" s="25"/>
      <c r="O377" s="26"/>
      <c r="P377" s="18"/>
      <c r="Q377" s="27"/>
      <c r="R377" s="22"/>
      <c r="S377" s="28"/>
      <c r="T377" s="25"/>
    </row>
    <row r="378" spans="1:20" s="19" customFormat="1" ht="15.75" x14ac:dyDescent="0.2">
      <c r="A378" s="113"/>
      <c r="B378" s="21"/>
      <c r="C378" s="150" t="s">
        <v>400</v>
      </c>
      <c r="D378" s="92" t="s">
        <v>396</v>
      </c>
      <c r="E378" s="23"/>
      <c r="F378" s="23" t="s">
        <v>121</v>
      </c>
      <c r="G378" s="31"/>
      <c r="H378" s="116"/>
      <c r="I378" s="24"/>
      <c r="J378" s="118"/>
      <c r="K378" s="117"/>
      <c r="L378" s="117"/>
      <c r="M378" s="117"/>
      <c r="N378" s="25"/>
      <c r="O378" s="26"/>
      <c r="P378" s="18"/>
      <c r="Q378" s="27"/>
      <c r="R378" s="22"/>
      <c r="S378" s="28"/>
      <c r="T378" s="25"/>
    </row>
    <row r="379" spans="1:20" s="19" customFormat="1" ht="15.75" x14ac:dyDescent="0.2">
      <c r="A379" s="113"/>
      <c r="B379" s="21"/>
      <c r="C379" s="150" t="s">
        <v>400</v>
      </c>
      <c r="D379" s="92" t="s">
        <v>397</v>
      </c>
      <c r="E379" s="23"/>
      <c r="F379" s="23" t="s">
        <v>121</v>
      </c>
      <c r="G379" s="31"/>
      <c r="H379" s="116"/>
      <c r="I379" s="24"/>
      <c r="J379" s="118"/>
      <c r="K379" s="117"/>
      <c r="L379" s="117"/>
      <c r="M379" s="117"/>
      <c r="N379" s="25"/>
      <c r="O379" s="26"/>
      <c r="P379" s="18"/>
      <c r="Q379" s="27"/>
      <c r="R379" s="22"/>
      <c r="S379" s="28"/>
      <c r="T379" s="25"/>
    </row>
    <row r="380" spans="1:20" s="19" customFormat="1" ht="15.75" x14ac:dyDescent="0.2">
      <c r="A380" s="113"/>
      <c r="B380" s="21"/>
      <c r="C380" s="150" t="s">
        <v>400</v>
      </c>
      <c r="D380" s="92" t="s">
        <v>398</v>
      </c>
      <c r="E380" s="23"/>
      <c r="F380" s="23" t="s">
        <v>121</v>
      </c>
      <c r="G380" s="31"/>
      <c r="H380" s="116"/>
      <c r="I380" s="24"/>
      <c r="J380" s="118"/>
      <c r="K380" s="117"/>
      <c r="L380" s="117"/>
      <c r="M380" s="117"/>
      <c r="N380" s="25"/>
      <c r="O380" s="26"/>
      <c r="P380" s="18"/>
      <c r="Q380" s="27"/>
      <c r="R380" s="22"/>
      <c r="S380" s="28"/>
      <c r="T380" s="25"/>
    </row>
    <row r="381" spans="1:20" s="19" customFormat="1" ht="15.75" x14ac:dyDescent="0.2">
      <c r="A381" s="113"/>
      <c r="B381" s="21"/>
      <c r="C381" s="150" t="s">
        <v>400</v>
      </c>
      <c r="D381" s="92" t="s">
        <v>399</v>
      </c>
      <c r="E381" s="23"/>
      <c r="F381" s="23" t="s">
        <v>121</v>
      </c>
      <c r="G381" s="31"/>
      <c r="H381" s="116"/>
      <c r="I381" s="24"/>
      <c r="J381" s="118"/>
      <c r="K381" s="117"/>
      <c r="L381" s="117"/>
      <c r="M381" s="117"/>
      <c r="N381" s="25"/>
      <c r="O381" s="26"/>
      <c r="P381" s="18"/>
      <c r="Q381" s="27"/>
      <c r="R381" s="22"/>
      <c r="S381" s="28"/>
      <c r="T381" s="25"/>
    </row>
    <row r="382" spans="1:20" s="19" customFormat="1" ht="15.75" x14ac:dyDescent="0.2">
      <c r="A382" s="29"/>
      <c r="B382" s="29"/>
      <c r="C382" s="27" t="s">
        <v>87</v>
      </c>
      <c r="D382" s="32" t="s">
        <v>148</v>
      </c>
      <c r="E382" s="30"/>
      <c r="F382" s="30" t="s">
        <v>121</v>
      </c>
      <c r="G382" s="31" t="e">
        <f>K265+91</f>
        <v>#VALUE!</v>
      </c>
      <c r="H382" s="116" t="e">
        <f t="shared" ref="H382:H385" si="126">G382+J382</f>
        <v>#VALUE!</v>
      </c>
      <c r="I382" s="31"/>
      <c r="J382" s="118">
        <v>15</v>
      </c>
      <c r="K382" s="117" t="e">
        <f t="shared" ref="K382:K385" si="127">IF(H382=0,"",IF(H382&lt;=$K$7, "X", ""))</f>
        <v>#VALUE!</v>
      </c>
      <c r="L382" s="117" t="e">
        <f t="shared" ref="L382:L385" si="128">IF(H382&lt;$K$7, "",IF(H382&lt;=$L$7,"X", ""))</f>
        <v>#VALUE!</v>
      </c>
      <c r="M382" s="117" t="e">
        <f t="shared" ref="M382:M385" si="129">IF(H382&lt;$L$7, "",IF(H382&gt;$L$7,"X", ""))</f>
        <v>#VALUE!</v>
      </c>
      <c r="N382" s="47"/>
      <c r="O382" s="22"/>
      <c r="P382" s="18"/>
      <c r="Q382" s="27"/>
      <c r="R382" s="22"/>
      <c r="S382" s="27"/>
      <c r="T382" s="47"/>
    </row>
    <row r="383" spans="1:20" s="19" customFormat="1" ht="15.75" x14ac:dyDescent="0.2">
      <c r="A383" s="29"/>
      <c r="B383" s="29"/>
      <c r="C383" s="27" t="s">
        <v>87</v>
      </c>
      <c r="D383" s="32" t="s">
        <v>149</v>
      </c>
      <c r="E383" s="30"/>
      <c r="F383" s="30" t="s">
        <v>121</v>
      </c>
      <c r="G383" s="31" t="e">
        <f>K265+91</f>
        <v>#VALUE!</v>
      </c>
      <c r="H383" s="116" t="e">
        <f t="shared" si="126"/>
        <v>#VALUE!</v>
      </c>
      <c r="I383" s="31"/>
      <c r="J383" s="118">
        <v>1</v>
      </c>
      <c r="K383" s="117" t="e">
        <f t="shared" si="127"/>
        <v>#VALUE!</v>
      </c>
      <c r="L383" s="117" t="e">
        <f t="shared" si="128"/>
        <v>#VALUE!</v>
      </c>
      <c r="M383" s="117" t="e">
        <f t="shared" si="129"/>
        <v>#VALUE!</v>
      </c>
      <c r="N383" s="47"/>
      <c r="O383" s="22"/>
      <c r="P383" s="18"/>
      <c r="Q383" s="27"/>
      <c r="R383" s="22"/>
      <c r="S383" s="27"/>
      <c r="T383" s="47"/>
    </row>
    <row r="384" spans="1:20" s="19" customFormat="1" ht="15.75" x14ac:dyDescent="0.2">
      <c r="A384" s="29"/>
      <c r="B384" s="29"/>
      <c r="C384" s="27" t="s">
        <v>87</v>
      </c>
      <c r="D384" s="32" t="s">
        <v>150</v>
      </c>
      <c r="E384" s="30"/>
      <c r="F384" s="30" t="s">
        <v>121</v>
      </c>
      <c r="G384" s="31" t="e">
        <f>K265+91</f>
        <v>#VALUE!</v>
      </c>
      <c r="H384" s="116" t="e">
        <f t="shared" si="126"/>
        <v>#VALUE!</v>
      </c>
      <c r="I384" s="31"/>
      <c r="J384" s="118">
        <v>10</v>
      </c>
      <c r="K384" s="117" t="e">
        <f t="shared" si="127"/>
        <v>#VALUE!</v>
      </c>
      <c r="L384" s="117" t="e">
        <f t="shared" si="128"/>
        <v>#VALUE!</v>
      </c>
      <c r="M384" s="117" t="e">
        <f t="shared" si="129"/>
        <v>#VALUE!</v>
      </c>
      <c r="N384" s="47"/>
      <c r="O384" s="22"/>
      <c r="P384" s="18"/>
      <c r="Q384" s="27"/>
      <c r="R384" s="22"/>
      <c r="S384" s="27"/>
      <c r="T384" s="47"/>
    </row>
    <row r="385" spans="1:20" s="19" customFormat="1" ht="15.75" x14ac:dyDescent="0.2">
      <c r="A385" s="29"/>
      <c r="B385" s="29"/>
      <c r="C385" s="27" t="s">
        <v>87</v>
      </c>
      <c r="D385" s="32" t="s">
        <v>151</v>
      </c>
      <c r="E385" s="30"/>
      <c r="F385" s="30" t="s">
        <v>121</v>
      </c>
      <c r="G385" s="31" t="e">
        <f>K265+91</f>
        <v>#VALUE!</v>
      </c>
      <c r="H385" s="116" t="e">
        <f t="shared" si="126"/>
        <v>#VALUE!</v>
      </c>
      <c r="I385" s="31"/>
      <c r="J385" s="118">
        <v>5</v>
      </c>
      <c r="K385" s="117" t="e">
        <f t="shared" si="127"/>
        <v>#VALUE!</v>
      </c>
      <c r="L385" s="117" t="e">
        <f t="shared" si="128"/>
        <v>#VALUE!</v>
      </c>
      <c r="M385" s="117" t="e">
        <f t="shared" si="129"/>
        <v>#VALUE!</v>
      </c>
      <c r="N385" s="47"/>
      <c r="O385" s="22"/>
      <c r="P385" s="18"/>
      <c r="Q385" s="27"/>
      <c r="R385" s="22"/>
      <c r="S385" s="27"/>
      <c r="T385" s="47"/>
    </row>
    <row r="386" spans="1:20" x14ac:dyDescent="0.2">
      <c r="G386" s="13" t="s">
        <v>64</v>
      </c>
    </row>
    <row r="387" spans="1:20" x14ac:dyDescent="0.2">
      <c r="G387" s="13" t="s">
        <v>64</v>
      </c>
    </row>
  </sheetData>
  <sheetProtection insertRows="0" insertHyperlinks="0" deleteRows="0" sort="0" autoFilter="0" pivotTables="0"/>
  <autoFilter ref="A8:T369"/>
  <mergeCells count="9">
    <mergeCell ref="R3:R4"/>
    <mergeCell ref="S3:S4"/>
    <mergeCell ref="T3:T4"/>
    <mergeCell ref="C4:D4"/>
    <mergeCell ref="J4:K4"/>
    <mergeCell ref="M3:N3"/>
    <mergeCell ref="M4:N4"/>
    <mergeCell ref="J3:K3"/>
    <mergeCell ref="G3:H3"/>
  </mergeCells>
  <conditionalFormatting sqref="I3:I4 N8:P8 O386:Q65578">
    <cfRule type="cellIs" dxfId="798" priority="900" stopIfTrue="1" operator="equal">
      <formula>"c"</formula>
    </cfRule>
    <cfRule type="cellIs" dxfId="797" priority="901" stopIfTrue="1" operator="equal">
      <formula>"ip"</formula>
    </cfRule>
    <cfRule type="cellIs" dxfId="796" priority="902" stopIfTrue="1" operator="equal">
      <formula>"wr"</formula>
    </cfRule>
  </conditionalFormatting>
  <conditionalFormatting sqref="N43:N49 T43:T49 T51:T53 N51:N53 N55:N57 T55:T57 T59:T61 N59:N61 N63:N65 T63:T65 T120:T131 N120:N131 N293:N304 T293:T304">
    <cfRule type="cellIs" dxfId="795" priority="897" stopIfTrue="1" operator="equal">
      <formula>"G"</formula>
    </cfRule>
    <cfRule type="cellIs" dxfId="794" priority="898" stopIfTrue="1" operator="equal">
      <formula>"Y"</formula>
    </cfRule>
    <cfRule type="cellIs" dxfId="793" priority="899" stopIfTrue="1" operator="equal">
      <formula>"R"</formula>
    </cfRule>
  </conditionalFormatting>
  <conditionalFormatting sqref="J4">
    <cfRule type="cellIs" dxfId="792" priority="894" stopIfTrue="1" operator="equal">
      <formula>"c"</formula>
    </cfRule>
    <cfRule type="cellIs" dxfId="791" priority="895" stopIfTrue="1" operator="equal">
      <formula>"wt"</formula>
    </cfRule>
    <cfRule type="cellIs" dxfId="790" priority="896" stopIfTrue="1" operator="equal">
      <formula>"wr"</formula>
    </cfRule>
  </conditionalFormatting>
  <conditionalFormatting sqref="I3:I4 O386:Q65578">
    <cfRule type="cellIs" dxfId="789" priority="888" stopIfTrue="1" operator="equal">
      <formula>"c"</formula>
    </cfRule>
    <cfRule type="cellIs" dxfId="788" priority="889" stopIfTrue="1" operator="equal">
      <formula>"ip"</formula>
    </cfRule>
    <cfRule type="cellIs" dxfId="787" priority="890" stopIfTrue="1" operator="equal">
      <formula>"wr"</formula>
    </cfRule>
  </conditionalFormatting>
  <conditionalFormatting sqref="J4">
    <cfRule type="cellIs" dxfId="786" priority="882" stopIfTrue="1" operator="equal">
      <formula>"c"</formula>
    </cfRule>
    <cfRule type="cellIs" dxfId="785" priority="883" stopIfTrue="1" operator="equal">
      <formula>"wt"</formula>
    </cfRule>
    <cfRule type="cellIs" dxfId="784" priority="884" stopIfTrue="1" operator="equal">
      <formula>"wr"</formula>
    </cfRule>
  </conditionalFormatting>
  <conditionalFormatting sqref="I3:I4 O386:Q65578">
    <cfRule type="cellIs" dxfId="783" priority="876" stopIfTrue="1" operator="equal">
      <formula>"c"</formula>
    </cfRule>
    <cfRule type="cellIs" dxfId="782" priority="877" stopIfTrue="1" operator="equal">
      <formula>"ip"</formula>
    </cfRule>
    <cfRule type="cellIs" dxfId="781" priority="878" stopIfTrue="1" operator="equal">
      <formula>"wr"</formula>
    </cfRule>
  </conditionalFormatting>
  <conditionalFormatting sqref="J4">
    <cfRule type="cellIs" dxfId="780" priority="870" stopIfTrue="1" operator="equal">
      <formula>"c"</formula>
    </cfRule>
    <cfRule type="cellIs" dxfId="779" priority="871" stopIfTrue="1" operator="equal">
      <formula>"wt"</formula>
    </cfRule>
    <cfRule type="cellIs" dxfId="778" priority="872" stopIfTrue="1" operator="equal">
      <formula>"wr"</formula>
    </cfRule>
  </conditionalFormatting>
  <conditionalFormatting sqref="N43:N49 T43:T49 T51:T53 N51:N53 N55:N57 T55:T57 T59:T61 N59:N61 N63:N65 T63:T65 T120:T131 N120:N131 N293:N304 T293:T304">
    <cfRule type="cellIs" dxfId="777" priority="863" stopIfTrue="1" operator="equal">
      <formula>"G"</formula>
    </cfRule>
    <cfRule type="cellIs" dxfId="776" priority="864" stopIfTrue="1" operator="equal">
      <formula>"Y"</formula>
    </cfRule>
    <cfRule type="cellIs" dxfId="775" priority="865" stopIfTrue="1" operator="equal">
      <formula>"C"</formula>
    </cfRule>
    <cfRule type="cellIs" dxfId="774" priority="866" stopIfTrue="1" operator="equal">
      <formula>"R"</formula>
    </cfRule>
  </conditionalFormatting>
  <conditionalFormatting sqref="M4">
    <cfRule type="cellIs" dxfId="773" priority="860" stopIfTrue="1" operator="equal">
      <formula>"c"</formula>
    </cfRule>
    <cfRule type="cellIs" dxfId="772" priority="861" stopIfTrue="1" operator="equal">
      <formula>"wt"</formula>
    </cfRule>
    <cfRule type="cellIs" dxfId="771" priority="862" stopIfTrue="1" operator="equal">
      <formula>"wr"</formula>
    </cfRule>
  </conditionalFormatting>
  <conditionalFormatting sqref="M4">
    <cfRule type="cellIs" dxfId="770" priority="857" stopIfTrue="1" operator="equal">
      <formula>"c"</formula>
    </cfRule>
    <cfRule type="cellIs" dxfId="769" priority="858" stopIfTrue="1" operator="equal">
      <formula>"wt"</formula>
    </cfRule>
    <cfRule type="cellIs" dxfId="768" priority="859" stopIfTrue="1" operator="equal">
      <formula>"wr"</formula>
    </cfRule>
  </conditionalFormatting>
  <conditionalFormatting sqref="M4">
    <cfRule type="cellIs" dxfId="767" priority="854" stopIfTrue="1" operator="equal">
      <formula>"c"</formula>
    </cfRule>
    <cfRule type="cellIs" dxfId="766" priority="855" stopIfTrue="1" operator="equal">
      <formula>"wt"</formula>
    </cfRule>
    <cfRule type="cellIs" dxfId="765" priority="856" stopIfTrue="1" operator="equal">
      <formula>"wr"</formula>
    </cfRule>
  </conditionalFormatting>
  <conditionalFormatting sqref="M3">
    <cfRule type="cellIs" dxfId="764" priority="851" stopIfTrue="1" operator="equal">
      <formula>"c"</formula>
    </cfRule>
    <cfRule type="cellIs" dxfId="763" priority="852" stopIfTrue="1" operator="equal">
      <formula>"wt"</formula>
    </cfRule>
    <cfRule type="cellIs" dxfId="762" priority="853" stopIfTrue="1" operator="equal">
      <formula>"wr"</formula>
    </cfRule>
  </conditionalFormatting>
  <conditionalFormatting sqref="M3">
    <cfRule type="cellIs" dxfId="761" priority="848" stopIfTrue="1" operator="equal">
      <formula>"c"</formula>
    </cfRule>
    <cfRule type="cellIs" dxfId="760" priority="849" stopIfTrue="1" operator="equal">
      <formula>"wt"</formula>
    </cfRule>
    <cfRule type="cellIs" dxfId="759" priority="850" stopIfTrue="1" operator="equal">
      <formula>"wr"</formula>
    </cfRule>
  </conditionalFormatting>
  <conditionalFormatting sqref="M3">
    <cfRule type="cellIs" dxfId="758" priority="845" stopIfTrue="1" operator="equal">
      <formula>"c"</formula>
    </cfRule>
    <cfRule type="cellIs" dxfId="757" priority="846" stopIfTrue="1" operator="equal">
      <formula>"wt"</formula>
    </cfRule>
    <cfRule type="cellIs" dxfId="756" priority="847" stopIfTrue="1" operator="equal">
      <formula>"wr"</formula>
    </cfRule>
  </conditionalFormatting>
  <conditionalFormatting sqref="N50 T50">
    <cfRule type="cellIs" dxfId="755" priority="817" stopIfTrue="1" operator="equal">
      <formula>"G"</formula>
    </cfRule>
    <cfRule type="cellIs" dxfId="754" priority="818" stopIfTrue="1" operator="equal">
      <formula>"Y"</formula>
    </cfRule>
    <cfRule type="cellIs" dxfId="753" priority="819" stopIfTrue="1" operator="equal">
      <formula>"R"</formula>
    </cfRule>
  </conditionalFormatting>
  <conditionalFormatting sqref="N50 T50">
    <cfRule type="cellIs" dxfId="752" priority="813" stopIfTrue="1" operator="equal">
      <formula>"G"</formula>
    </cfRule>
    <cfRule type="cellIs" dxfId="751" priority="814" stopIfTrue="1" operator="equal">
      <formula>"Y"</formula>
    </cfRule>
    <cfRule type="cellIs" dxfId="750" priority="815" stopIfTrue="1" operator="equal">
      <formula>"C"</formula>
    </cfRule>
    <cfRule type="cellIs" dxfId="749" priority="816" stopIfTrue="1" operator="equal">
      <formula>"R"</formula>
    </cfRule>
  </conditionalFormatting>
  <conditionalFormatting sqref="T132:T145 N132:N145 N147:N152 T147:T152 T154:T158 N154:N158 T172:T177 N172:N177 N197:N204 T197:T204 T206:T208 N206:N208 T212:T215 N212:N215 N217:N223 T217:T223 T228:T237 N228:N237">
    <cfRule type="cellIs" dxfId="748" priority="778" stopIfTrue="1" operator="equal">
      <formula>"G"</formula>
    </cfRule>
    <cfRule type="cellIs" dxfId="747" priority="779" stopIfTrue="1" operator="equal">
      <formula>"Y"</formula>
    </cfRule>
    <cfRule type="cellIs" dxfId="746" priority="780" stopIfTrue="1" operator="equal">
      <formula>"C"</formula>
    </cfRule>
    <cfRule type="cellIs" dxfId="745" priority="781" stopIfTrue="1" operator="equal">
      <formula>"R"</formula>
    </cfRule>
  </conditionalFormatting>
  <conditionalFormatting sqref="N54 T54">
    <cfRule type="cellIs" dxfId="744" priority="810" stopIfTrue="1" operator="equal">
      <formula>"G"</formula>
    </cfRule>
    <cfRule type="cellIs" dxfId="743" priority="811" stopIfTrue="1" operator="equal">
      <formula>"Y"</formula>
    </cfRule>
    <cfRule type="cellIs" dxfId="742" priority="812" stopIfTrue="1" operator="equal">
      <formula>"R"</formula>
    </cfRule>
  </conditionalFormatting>
  <conditionalFormatting sqref="N54 T54">
    <cfRule type="cellIs" dxfId="741" priority="806" stopIfTrue="1" operator="equal">
      <formula>"G"</formula>
    </cfRule>
    <cfRule type="cellIs" dxfId="740" priority="807" stopIfTrue="1" operator="equal">
      <formula>"Y"</formula>
    </cfRule>
    <cfRule type="cellIs" dxfId="739" priority="808" stopIfTrue="1" operator="equal">
      <formula>"C"</formula>
    </cfRule>
    <cfRule type="cellIs" dxfId="738" priority="809" stopIfTrue="1" operator="equal">
      <formula>"R"</formula>
    </cfRule>
  </conditionalFormatting>
  <conditionalFormatting sqref="N58 T58">
    <cfRule type="cellIs" dxfId="737" priority="803" stopIfTrue="1" operator="equal">
      <formula>"G"</formula>
    </cfRule>
    <cfRule type="cellIs" dxfId="736" priority="804" stopIfTrue="1" operator="equal">
      <formula>"Y"</formula>
    </cfRule>
    <cfRule type="cellIs" dxfId="735" priority="805" stopIfTrue="1" operator="equal">
      <formula>"R"</formula>
    </cfRule>
  </conditionalFormatting>
  <conditionalFormatting sqref="N58 T58">
    <cfRule type="cellIs" dxfId="734" priority="799" stopIfTrue="1" operator="equal">
      <formula>"G"</formula>
    </cfRule>
    <cfRule type="cellIs" dxfId="733" priority="800" stopIfTrue="1" operator="equal">
      <formula>"Y"</formula>
    </cfRule>
    <cfRule type="cellIs" dxfId="732" priority="801" stopIfTrue="1" operator="equal">
      <formula>"C"</formula>
    </cfRule>
    <cfRule type="cellIs" dxfId="731" priority="802" stopIfTrue="1" operator="equal">
      <formula>"R"</formula>
    </cfRule>
  </conditionalFormatting>
  <conditionalFormatting sqref="N62 T62">
    <cfRule type="cellIs" dxfId="730" priority="796" stopIfTrue="1" operator="equal">
      <formula>"G"</formula>
    </cfRule>
    <cfRule type="cellIs" dxfId="729" priority="797" stopIfTrue="1" operator="equal">
      <formula>"Y"</formula>
    </cfRule>
    <cfRule type="cellIs" dxfId="728" priority="798" stopIfTrue="1" operator="equal">
      <formula>"R"</formula>
    </cfRule>
  </conditionalFormatting>
  <conditionalFormatting sqref="N62 T62">
    <cfRule type="cellIs" dxfId="727" priority="792" stopIfTrue="1" operator="equal">
      <formula>"G"</formula>
    </cfRule>
    <cfRule type="cellIs" dxfId="726" priority="793" stopIfTrue="1" operator="equal">
      <formula>"Y"</formula>
    </cfRule>
    <cfRule type="cellIs" dxfId="725" priority="794" stopIfTrue="1" operator="equal">
      <formula>"C"</formula>
    </cfRule>
    <cfRule type="cellIs" dxfId="724" priority="795" stopIfTrue="1" operator="equal">
      <formula>"R"</formula>
    </cfRule>
  </conditionalFormatting>
  <conditionalFormatting sqref="N119 T119">
    <cfRule type="cellIs" dxfId="723" priority="789" stopIfTrue="1" operator="equal">
      <formula>"G"</formula>
    </cfRule>
    <cfRule type="cellIs" dxfId="722" priority="790" stopIfTrue="1" operator="equal">
      <formula>"Y"</formula>
    </cfRule>
    <cfRule type="cellIs" dxfId="721" priority="791" stopIfTrue="1" operator="equal">
      <formula>"R"</formula>
    </cfRule>
  </conditionalFormatting>
  <conditionalFormatting sqref="N119 T119">
    <cfRule type="cellIs" dxfId="720" priority="785" stopIfTrue="1" operator="equal">
      <formula>"G"</formula>
    </cfRule>
    <cfRule type="cellIs" dxfId="719" priority="786" stopIfTrue="1" operator="equal">
      <formula>"Y"</formula>
    </cfRule>
    <cfRule type="cellIs" dxfId="718" priority="787" stopIfTrue="1" operator="equal">
      <formula>"C"</formula>
    </cfRule>
    <cfRule type="cellIs" dxfId="717" priority="788" stopIfTrue="1" operator="equal">
      <formula>"R"</formula>
    </cfRule>
  </conditionalFormatting>
  <conditionalFormatting sqref="T132:T145 N132:N145 N147:N152 T147:T152 T154:T158 N154:N158 T172:T177 N172:N177 N197:N204 T197:T204 T206:T208 N206:N208 T212:T215 N212:N215 N217:N223 T217:T223 T228:T237 N228:N237">
    <cfRule type="cellIs" dxfId="716" priority="782" stopIfTrue="1" operator="equal">
      <formula>"G"</formula>
    </cfRule>
    <cfRule type="cellIs" dxfId="715" priority="783" stopIfTrue="1" operator="equal">
      <formula>"Y"</formula>
    </cfRule>
    <cfRule type="cellIs" dxfId="714" priority="784" stopIfTrue="1" operator="equal">
      <formula>"R"</formula>
    </cfRule>
  </conditionalFormatting>
  <conditionalFormatting sqref="N146 T146">
    <cfRule type="cellIs" dxfId="713" priority="775" stopIfTrue="1" operator="equal">
      <formula>"G"</formula>
    </cfRule>
    <cfRule type="cellIs" dxfId="712" priority="776" stopIfTrue="1" operator="equal">
      <formula>"Y"</formula>
    </cfRule>
    <cfRule type="cellIs" dxfId="711" priority="777" stopIfTrue="1" operator="equal">
      <formula>"R"</formula>
    </cfRule>
  </conditionalFormatting>
  <conditionalFormatting sqref="N146 T146">
    <cfRule type="cellIs" dxfId="710" priority="771" stopIfTrue="1" operator="equal">
      <formula>"G"</formula>
    </cfRule>
    <cfRule type="cellIs" dxfId="709" priority="772" stopIfTrue="1" operator="equal">
      <formula>"Y"</formula>
    </cfRule>
    <cfRule type="cellIs" dxfId="708" priority="773" stopIfTrue="1" operator="equal">
      <formula>"C"</formula>
    </cfRule>
    <cfRule type="cellIs" dxfId="707" priority="774" stopIfTrue="1" operator="equal">
      <formula>"R"</formula>
    </cfRule>
  </conditionalFormatting>
  <conditionalFormatting sqref="N153 T153">
    <cfRule type="cellIs" dxfId="706" priority="768" stopIfTrue="1" operator="equal">
      <formula>"G"</formula>
    </cfRule>
    <cfRule type="cellIs" dxfId="705" priority="769" stopIfTrue="1" operator="equal">
      <formula>"Y"</formula>
    </cfRule>
    <cfRule type="cellIs" dxfId="704" priority="770" stopIfTrue="1" operator="equal">
      <formula>"R"</formula>
    </cfRule>
  </conditionalFormatting>
  <conditionalFormatting sqref="N153 T153">
    <cfRule type="cellIs" dxfId="703" priority="764" stopIfTrue="1" operator="equal">
      <formula>"G"</formula>
    </cfRule>
    <cfRule type="cellIs" dxfId="702" priority="765" stopIfTrue="1" operator="equal">
      <formula>"Y"</formula>
    </cfRule>
    <cfRule type="cellIs" dxfId="701" priority="766" stopIfTrue="1" operator="equal">
      <formula>"C"</formula>
    </cfRule>
    <cfRule type="cellIs" dxfId="700" priority="767" stopIfTrue="1" operator="equal">
      <formula>"R"</formula>
    </cfRule>
  </conditionalFormatting>
  <conditionalFormatting sqref="N171 T171">
    <cfRule type="cellIs" dxfId="699" priority="754" stopIfTrue="1" operator="equal">
      <formula>"G"</formula>
    </cfRule>
    <cfRule type="cellIs" dxfId="698" priority="755" stopIfTrue="1" operator="equal">
      <formula>"Y"</formula>
    </cfRule>
    <cfRule type="cellIs" dxfId="697" priority="756" stopIfTrue="1" operator="equal">
      <formula>"R"</formula>
    </cfRule>
  </conditionalFormatting>
  <conditionalFormatting sqref="N171 T171">
    <cfRule type="cellIs" dxfId="696" priority="750" stopIfTrue="1" operator="equal">
      <formula>"G"</formula>
    </cfRule>
    <cfRule type="cellIs" dxfId="695" priority="751" stopIfTrue="1" operator="equal">
      <formula>"Y"</formula>
    </cfRule>
    <cfRule type="cellIs" dxfId="694" priority="752" stopIfTrue="1" operator="equal">
      <formula>"C"</formula>
    </cfRule>
    <cfRule type="cellIs" dxfId="693" priority="753" stopIfTrue="1" operator="equal">
      <formula>"R"</formula>
    </cfRule>
  </conditionalFormatting>
  <conditionalFormatting sqref="N205 T205">
    <cfRule type="cellIs" dxfId="692" priority="740" stopIfTrue="1" operator="equal">
      <formula>"G"</formula>
    </cfRule>
    <cfRule type="cellIs" dxfId="691" priority="741" stopIfTrue="1" operator="equal">
      <formula>"Y"</formula>
    </cfRule>
    <cfRule type="cellIs" dxfId="690" priority="742" stopIfTrue="1" operator="equal">
      <formula>"R"</formula>
    </cfRule>
  </conditionalFormatting>
  <conditionalFormatting sqref="N205 T205">
    <cfRule type="cellIs" dxfId="689" priority="736" stopIfTrue="1" operator="equal">
      <formula>"G"</formula>
    </cfRule>
    <cfRule type="cellIs" dxfId="688" priority="737" stopIfTrue="1" operator="equal">
      <formula>"Y"</formula>
    </cfRule>
    <cfRule type="cellIs" dxfId="687" priority="738" stopIfTrue="1" operator="equal">
      <formula>"C"</formula>
    </cfRule>
    <cfRule type="cellIs" dxfId="686" priority="739" stopIfTrue="1" operator="equal">
      <formula>"R"</formula>
    </cfRule>
  </conditionalFormatting>
  <conditionalFormatting sqref="N196 T196">
    <cfRule type="cellIs" dxfId="685" priority="747" stopIfTrue="1" operator="equal">
      <formula>"G"</formula>
    </cfRule>
    <cfRule type="cellIs" dxfId="684" priority="748" stopIfTrue="1" operator="equal">
      <formula>"Y"</formula>
    </cfRule>
    <cfRule type="cellIs" dxfId="683" priority="749" stopIfTrue="1" operator="equal">
      <formula>"R"</formula>
    </cfRule>
  </conditionalFormatting>
  <conditionalFormatting sqref="N196 T196">
    <cfRule type="cellIs" dxfId="682" priority="743" stopIfTrue="1" operator="equal">
      <formula>"G"</formula>
    </cfRule>
    <cfRule type="cellIs" dxfId="681" priority="744" stopIfTrue="1" operator="equal">
      <formula>"Y"</formula>
    </cfRule>
    <cfRule type="cellIs" dxfId="680" priority="745" stopIfTrue="1" operator="equal">
      <formula>"C"</formula>
    </cfRule>
    <cfRule type="cellIs" dxfId="679" priority="746" stopIfTrue="1" operator="equal">
      <formula>"R"</formula>
    </cfRule>
  </conditionalFormatting>
  <conditionalFormatting sqref="N211 T211">
    <cfRule type="cellIs" dxfId="678" priority="726" stopIfTrue="1" operator="equal">
      <formula>"G"</formula>
    </cfRule>
    <cfRule type="cellIs" dxfId="677" priority="727" stopIfTrue="1" operator="equal">
      <formula>"Y"</formula>
    </cfRule>
    <cfRule type="cellIs" dxfId="676" priority="728" stopIfTrue="1" operator="equal">
      <formula>"R"</formula>
    </cfRule>
  </conditionalFormatting>
  <conditionalFormatting sqref="N211 T211">
    <cfRule type="cellIs" dxfId="675" priority="722" stopIfTrue="1" operator="equal">
      <formula>"G"</formula>
    </cfRule>
    <cfRule type="cellIs" dxfId="674" priority="723" stopIfTrue="1" operator="equal">
      <formula>"Y"</formula>
    </cfRule>
    <cfRule type="cellIs" dxfId="673" priority="724" stopIfTrue="1" operator="equal">
      <formula>"C"</formula>
    </cfRule>
    <cfRule type="cellIs" dxfId="672" priority="725" stopIfTrue="1" operator="equal">
      <formula>"R"</formula>
    </cfRule>
  </conditionalFormatting>
  <conditionalFormatting sqref="N216 T216">
    <cfRule type="cellIs" dxfId="671" priority="719" stopIfTrue="1" operator="equal">
      <formula>"G"</formula>
    </cfRule>
    <cfRule type="cellIs" dxfId="670" priority="720" stopIfTrue="1" operator="equal">
      <formula>"Y"</formula>
    </cfRule>
    <cfRule type="cellIs" dxfId="669" priority="721" stopIfTrue="1" operator="equal">
      <formula>"R"</formula>
    </cfRule>
  </conditionalFormatting>
  <conditionalFormatting sqref="N216 T216">
    <cfRule type="cellIs" dxfId="668" priority="715" stopIfTrue="1" operator="equal">
      <formula>"G"</formula>
    </cfRule>
    <cfRule type="cellIs" dxfId="667" priority="716" stopIfTrue="1" operator="equal">
      <formula>"Y"</formula>
    </cfRule>
    <cfRule type="cellIs" dxfId="666" priority="717" stopIfTrue="1" operator="equal">
      <formula>"C"</formula>
    </cfRule>
    <cfRule type="cellIs" dxfId="665" priority="718" stopIfTrue="1" operator="equal">
      <formula>"R"</formula>
    </cfRule>
  </conditionalFormatting>
  <conditionalFormatting sqref="N227 T227">
    <cfRule type="cellIs" dxfId="664" priority="712" stopIfTrue="1" operator="equal">
      <formula>"G"</formula>
    </cfRule>
    <cfRule type="cellIs" dxfId="663" priority="713" stopIfTrue="1" operator="equal">
      <formula>"Y"</formula>
    </cfRule>
    <cfRule type="cellIs" dxfId="662" priority="714" stopIfTrue="1" operator="equal">
      <formula>"R"</formula>
    </cfRule>
  </conditionalFormatting>
  <conditionalFormatting sqref="N227 T227">
    <cfRule type="cellIs" dxfId="661" priority="708" stopIfTrue="1" operator="equal">
      <formula>"G"</formula>
    </cfRule>
    <cfRule type="cellIs" dxfId="660" priority="709" stopIfTrue="1" operator="equal">
      <formula>"Y"</formula>
    </cfRule>
    <cfRule type="cellIs" dxfId="659" priority="710" stopIfTrue="1" operator="equal">
      <formula>"C"</formula>
    </cfRule>
    <cfRule type="cellIs" dxfId="658" priority="711" stopIfTrue="1" operator="equal">
      <formula>"R"</formula>
    </cfRule>
  </conditionalFormatting>
  <conditionalFormatting sqref="T239:T241 N239:N241 N243:N248 T243:T248 T320:T328 N320:N328 T386:T401 N386:N401">
    <cfRule type="cellIs" dxfId="657" priority="705" stopIfTrue="1" operator="equal">
      <formula>"G"</formula>
    </cfRule>
    <cfRule type="cellIs" dxfId="656" priority="706" stopIfTrue="1" operator="equal">
      <formula>"Y"</formula>
    </cfRule>
    <cfRule type="cellIs" dxfId="655" priority="707" stopIfTrue="1" operator="equal">
      <formula>"R"</formula>
    </cfRule>
  </conditionalFormatting>
  <conditionalFormatting sqref="T239:T241 N239:N241 N243:N248 T243:T248 T320:T328 N320:N328 T386:T401 N386:N401">
    <cfRule type="cellIs" dxfId="654" priority="701" stopIfTrue="1" operator="equal">
      <formula>"G"</formula>
    </cfRule>
    <cfRule type="cellIs" dxfId="653" priority="702" stopIfTrue="1" operator="equal">
      <formula>"Y"</formula>
    </cfRule>
    <cfRule type="cellIs" dxfId="652" priority="703" stopIfTrue="1" operator="equal">
      <formula>"C"</formula>
    </cfRule>
    <cfRule type="cellIs" dxfId="651" priority="704" stopIfTrue="1" operator="equal">
      <formula>"R"</formula>
    </cfRule>
  </conditionalFormatting>
  <conditionalFormatting sqref="N238 T238">
    <cfRule type="cellIs" dxfId="650" priority="698" stopIfTrue="1" operator="equal">
      <formula>"G"</formula>
    </cfRule>
    <cfRule type="cellIs" dxfId="649" priority="699" stopIfTrue="1" operator="equal">
      <formula>"Y"</formula>
    </cfRule>
    <cfRule type="cellIs" dxfId="648" priority="700" stopIfTrue="1" operator="equal">
      <formula>"R"</formula>
    </cfRule>
  </conditionalFormatting>
  <conditionalFormatting sqref="N238 T238">
    <cfRule type="cellIs" dxfId="647" priority="694" stopIfTrue="1" operator="equal">
      <formula>"G"</formula>
    </cfRule>
    <cfRule type="cellIs" dxfId="646" priority="695" stopIfTrue="1" operator="equal">
      <formula>"Y"</formula>
    </cfRule>
    <cfRule type="cellIs" dxfId="645" priority="696" stopIfTrue="1" operator="equal">
      <formula>"C"</formula>
    </cfRule>
    <cfRule type="cellIs" dxfId="644" priority="697" stopIfTrue="1" operator="equal">
      <formula>"R"</formula>
    </cfRule>
  </conditionalFormatting>
  <conditionalFormatting sqref="N242 T242">
    <cfRule type="cellIs" dxfId="643" priority="687" stopIfTrue="1" operator="equal">
      <formula>"G"</formula>
    </cfRule>
    <cfRule type="cellIs" dxfId="642" priority="688" stopIfTrue="1" operator="equal">
      <formula>"Y"</formula>
    </cfRule>
    <cfRule type="cellIs" dxfId="641" priority="689" stopIfTrue="1" operator="equal">
      <formula>"C"</formula>
    </cfRule>
    <cfRule type="cellIs" dxfId="640" priority="690" stopIfTrue="1" operator="equal">
      <formula>"R"</formula>
    </cfRule>
  </conditionalFormatting>
  <conditionalFormatting sqref="N242 T242">
    <cfRule type="cellIs" dxfId="639" priority="691" stopIfTrue="1" operator="equal">
      <formula>"G"</formula>
    </cfRule>
    <cfRule type="cellIs" dxfId="638" priority="692" stopIfTrue="1" operator="equal">
      <formula>"Y"</formula>
    </cfRule>
    <cfRule type="cellIs" dxfId="637" priority="693" stopIfTrue="1" operator="equal">
      <formula>"R"</formula>
    </cfRule>
  </conditionalFormatting>
  <conditionalFormatting sqref="N292 T292">
    <cfRule type="cellIs" dxfId="636" priority="677" stopIfTrue="1" operator="equal">
      <formula>"G"</formula>
    </cfRule>
    <cfRule type="cellIs" dxfId="635" priority="678" stopIfTrue="1" operator="equal">
      <formula>"Y"</formula>
    </cfRule>
    <cfRule type="cellIs" dxfId="634" priority="679" stopIfTrue="1" operator="equal">
      <formula>"R"</formula>
    </cfRule>
  </conditionalFormatting>
  <conditionalFormatting sqref="N292 T292">
    <cfRule type="cellIs" dxfId="633" priority="673" stopIfTrue="1" operator="equal">
      <formula>"G"</formula>
    </cfRule>
    <cfRule type="cellIs" dxfId="632" priority="674" stopIfTrue="1" operator="equal">
      <formula>"Y"</formula>
    </cfRule>
    <cfRule type="cellIs" dxfId="631" priority="675" stopIfTrue="1" operator="equal">
      <formula>"C"</formula>
    </cfRule>
    <cfRule type="cellIs" dxfId="630" priority="676" stopIfTrue="1" operator="equal">
      <formula>"R"</formula>
    </cfRule>
  </conditionalFormatting>
  <conditionalFormatting sqref="N319 T319">
    <cfRule type="cellIs" dxfId="629" priority="670" stopIfTrue="1" operator="equal">
      <formula>"G"</formula>
    </cfRule>
    <cfRule type="cellIs" dxfId="628" priority="671" stopIfTrue="1" operator="equal">
      <formula>"Y"</formula>
    </cfRule>
    <cfRule type="cellIs" dxfId="627" priority="672" stopIfTrue="1" operator="equal">
      <formula>"R"</formula>
    </cfRule>
  </conditionalFormatting>
  <conditionalFormatting sqref="N319 T319">
    <cfRule type="cellIs" dxfId="626" priority="666" stopIfTrue="1" operator="equal">
      <formula>"G"</formula>
    </cfRule>
    <cfRule type="cellIs" dxfId="625" priority="667" stopIfTrue="1" operator="equal">
      <formula>"Y"</formula>
    </cfRule>
    <cfRule type="cellIs" dxfId="624" priority="668" stopIfTrue="1" operator="equal">
      <formula>"C"</formula>
    </cfRule>
    <cfRule type="cellIs" dxfId="623" priority="669" stopIfTrue="1" operator="equal">
      <formula>"R"</formula>
    </cfRule>
  </conditionalFormatting>
  <conditionalFormatting sqref="N15:N16 T15:T16">
    <cfRule type="cellIs" dxfId="622" priority="642" stopIfTrue="1" operator="equal">
      <formula>"G"</formula>
    </cfRule>
    <cfRule type="cellIs" dxfId="621" priority="643" stopIfTrue="1" operator="equal">
      <formula>"Y"</formula>
    </cfRule>
    <cfRule type="cellIs" dxfId="620" priority="644" stopIfTrue="1" operator="equal">
      <formula>"R"</formula>
    </cfRule>
  </conditionalFormatting>
  <conditionalFormatting sqref="N15:N16 T15:T16">
    <cfRule type="cellIs" dxfId="619" priority="638" stopIfTrue="1" operator="equal">
      <formula>"G"</formula>
    </cfRule>
    <cfRule type="cellIs" dxfId="618" priority="639" stopIfTrue="1" operator="equal">
      <formula>"Y"</formula>
    </cfRule>
    <cfRule type="cellIs" dxfId="617" priority="640" stopIfTrue="1" operator="equal">
      <formula>"C"</formula>
    </cfRule>
    <cfRule type="cellIs" dxfId="616" priority="641" stopIfTrue="1" operator="equal">
      <formula>"R"</formula>
    </cfRule>
  </conditionalFormatting>
  <conditionalFormatting sqref="N9 T9">
    <cfRule type="cellIs" dxfId="615" priority="656" stopIfTrue="1" operator="equal">
      <formula>"G"</formula>
    </cfRule>
    <cfRule type="cellIs" dxfId="614" priority="657" stopIfTrue="1" operator="equal">
      <formula>"Y"</formula>
    </cfRule>
    <cfRule type="cellIs" dxfId="613" priority="658" stopIfTrue="1" operator="equal">
      <formula>"R"</formula>
    </cfRule>
  </conditionalFormatting>
  <conditionalFormatting sqref="N9 T9">
    <cfRule type="cellIs" dxfId="612" priority="652" stopIfTrue="1" operator="equal">
      <formula>"G"</formula>
    </cfRule>
    <cfRule type="cellIs" dxfId="611" priority="653" stopIfTrue="1" operator="equal">
      <formula>"Y"</formula>
    </cfRule>
    <cfRule type="cellIs" dxfId="610" priority="654" stopIfTrue="1" operator="equal">
      <formula>"C"</formula>
    </cfRule>
    <cfRule type="cellIs" dxfId="609" priority="655" stopIfTrue="1" operator="equal">
      <formula>"R"</formula>
    </cfRule>
  </conditionalFormatting>
  <conditionalFormatting sqref="N10:N13 T10:T13">
    <cfRule type="cellIs" dxfId="608" priority="649" stopIfTrue="1" operator="equal">
      <formula>"G"</formula>
    </cfRule>
    <cfRule type="cellIs" dxfId="607" priority="650" stopIfTrue="1" operator="equal">
      <formula>"Y"</formula>
    </cfRule>
    <cfRule type="cellIs" dxfId="606" priority="651" stopIfTrue="1" operator="equal">
      <formula>"R"</formula>
    </cfRule>
  </conditionalFormatting>
  <conditionalFormatting sqref="N10:N13 T10:T13">
    <cfRule type="cellIs" dxfId="605" priority="645" stopIfTrue="1" operator="equal">
      <formula>"G"</formula>
    </cfRule>
    <cfRule type="cellIs" dxfId="604" priority="646" stopIfTrue="1" operator="equal">
      <formula>"Y"</formula>
    </cfRule>
    <cfRule type="cellIs" dxfId="603" priority="647" stopIfTrue="1" operator="equal">
      <formula>"C"</formula>
    </cfRule>
    <cfRule type="cellIs" dxfId="602" priority="648" stopIfTrue="1" operator="equal">
      <formula>"R"</formula>
    </cfRule>
  </conditionalFormatting>
  <conditionalFormatting sqref="N17 T17">
    <cfRule type="cellIs" dxfId="601" priority="614" stopIfTrue="1" operator="equal">
      <formula>"G"</formula>
    </cfRule>
    <cfRule type="cellIs" dxfId="600" priority="615" stopIfTrue="1" operator="equal">
      <formula>"Y"</formula>
    </cfRule>
    <cfRule type="cellIs" dxfId="599" priority="616" stopIfTrue="1" operator="equal">
      <formula>"R"</formula>
    </cfRule>
  </conditionalFormatting>
  <conditionalFormatting sqref="N17 T17">
    <cfRule type="cellIs" dxfId="598" priority="610" stopIfTrue="1" operator="equal">
      <formula>"G"</formula>
    </cfRule>
    <cfRule type="cellIs" dxfId="597" priority="611" stopIfTrue="1" operator="equal">
      <formula>"Y"</formula>
    </cfRule>
    <cfRule type="cellIs" dxfId="596" priority="612" stopIfTrue="1" operator="equal">
      <formula>"C"</formula>
    </cfRule>
    <cfRule type="cellIs" dxfId="595" priority="613" stopIfTrue="1" operator="equal">
      <formula>"R"</formula>
    </cfRule>
  </conditionalFormatting>
  <conditionalFormatting sqref="N18:N35 T18:T35">
    <cfRule type="cellIs" dxfId="594" priority="635" stopIfTrue="1" operator="equal">
      <formula>"G"</formula>
    </cfRule>
    <cfRule type="cellIs" dxfId="593" priority="636" stopIfTrue="1" operator="equal">
      <formula>"Y"</formula>
    </cfRule>
    <cfRule type="cellIs" dxfId="592" priority="637" stopIfTrue="1" operator="equal">
      <formula>"R"</formula>
    </cfRule>
  </conditionalFormatting>
  <conditionalFormatting sqref="N18:N35 T18:T35">
    <cfRule type="cellIs" dxfId="591" priority="631" stopIfTrue="1" operator="equal">
      <formula>"G"</formula>
    </cfRule>
    <cfRule type="cellIs" dxfId="590" priority="632" stopIfTrue="1" operator="equal">
      <formula>"Y"</formula>
    </cfRule>
    <cfRule type="cellIs" dxfId="589" priority="633" stopIfTrue="1" operator="equal">
      <formula>"C"</formula>
    </cfRule>
    <cfRule type="cellIs" dxfId="588" priority="634" stopIfTrue="1" operator="equal">
      <formula>"R"</formula>
    </cfRule>
  </conditionalFormatting>
  <conditionalFormatting sqref="N37:N42 T37:T42">
    <cfRule type="cellIs" dxfId="587" priority="628" stopIfTrue="1" operator="equal">
      <formula>"G"</formula>
    </cfRule>
    <cfRule type="cellIs" dxfId="586" priority="629" stopIfTrue="1" operator="equal">
      <formula>"Y"</formula>
    </cfRule>
    <cfRule type="cellIs" dxfId="585" priority="630" stopIfTrue="1" operator="equal">
      <formula>"R"</formula>
    </cfRule>
  </conditionalFormatting>
  <conditionalFormatting sqref="N37:N42 T37:T42">
    <cfRule type="cellIs" dxfId="584" priority="624" stopIfTrue="1" operator="equal">
      <formula>"G"</formula>
    </cfRule>
    <cfRule type="cellIs" dxfId="583" priority="625" stopIfTrue="1" operator="equal">
      <formula>"Y"</formula>
    </cfRule>
    <cfRule type="cellIs" dxfId="582" priority="626" stopIfTrue="1" operator="equal">
      <formula>"C"</formula>
    </cfRule>
    <cfRule type="cellIs" dxfId="581" priority="627" stopIfTrue="1" operator="equal">
      <formula>"R"</formula>
    </cfRule>
  </conditionalFormatting>
  <conditionalFormatting sqref="N14 T14">
    <cfRule type="cellIs" dxfId="580" priority="621" stopIfTrue="1" operator="equal">
      <formula>"G"</formula>
    </cfRule>
    <cfRule type="cellIs" dxfId="579" priority="622" stopIfTrue="1" operator="equal">
      <formula>"Y"</formula>
    </cfRule>
    <cfRule type="cellIs" dxfId="578" priority="623" stopIfTrue="1" operator="equal">
      <formula>"R"</formula>
    </cfRule>
  </conditionalFormatting>
  <conditionalFormatting sqref="N14 T14">
    <cfRule type="cellIs" dxfId="577" priority="617" stopIfTrue="1" operator="equal">
      <formula>"G"</formula>
    </cfRule>
    <cfRule type="cellIs" dxfId="576" priority="618" stopIfTrue="1" operator="equal">
      <formula>"Y"</formula>
    </cfRule>
    <cfRule type="cellIs" dxfId="575" priority="619" stopIfTrue="1" operator="equal">
      <formula>"C"</formula>
    </cfRule>
    <cfRule type="cellIs" dxfId="574" priority="620" stopIfTrue="1" operator="equal">
      <formula>"R"</formula>
    </cfRule>
  </conditionalFormatting>
  <conditionalFormatting sqref="N36 T36">
    <cfRule type="cellIs" dxfId="573" priority="607" stopIfTrue="1" operator="equal">
      <formula>"G"</formula>
    </cfRule>
    <cfRule type="cellIs" dxfId="572" priority="608" stopIfTrue="1" operator="equal">
      <formula>"Y"</formula>
    </cfRule>
    <cfRule type="cellIs" dxfId="571" priority="609" stopIfTrue="1" operator="equal">
      <formula>"R"</formula>
    </cfRule>
  </conditionalFormatting>
  <conditionalFormatting sqref="N36 T36">
    <cfRule type="cellIs" dxfId="570" priority="603" stopIfTrue="1" operator="equal">
      <formula>"G"</formula>
    </cfRule>
    <cfRule type="cellIs" dxfId="569" priority="604" stopIfTrue="1" operator="equal">
      <formula>"Y"</formula>
    </cfRule>
    <cfRule type="cellIs" dxfId="568" priority="605" stopIfTrue="1" operator="equal">
      <formula>"C"</formula>
    </cfRule>
    <cfRule type="cellIs" dxfId="567" priority="606" stopIfTrue="1" operator="equal">
      <formula>"R"</formula>
    </cfRule>
  </conditionalFormatting>
  <conditionalFormatting sqref="N80 T80">
    <cfRule type="cellIs" dxfId="566" priority="579" stopIfTrue="1" operator="equal">
      <formula>"G"</formula>
    </cfRule>
    <cfRule type="cellIs" dxfId="565" priority="580" stopIfTrue="1" operator="equal">
      <formula>"Y"</formula>
    </cfRule>
    <cfRule type="cellIs" dxfId="564" priority="581" stopIfTrue="1" operator="equal">
      <formula>"R"</formula>
    </cfRule>
  </conditionalFormatting>
  <conditionalFormatting sqref="N80 T80">
    <cfRule type="cellIs" dxfId="563" priority="575" stopIfTrue="1" operator="equal">
      <formula>"G"</formula>
    </cfRule>
    <cfRule type="cellIs" dxfId="562" priority="576" stopIfTrue="1" operator="equal">
      <formula>"Y"</formula>
    </cfRule>
    <cfRule type="cellIs" dxfId="561" priority="577" stopIfTrue="1" operator="equal">
      <formula>"C"</formula>
    </cfRule>
    <cfRule type="cellIs" dxfId="560" priority="578" stopIfTrue="1" operator="equal">
      <formula>"R"</formula>
    </cfRule>
  </conditionalFormatting>
  <conditionalFormatting sqref="N110:N116 T110:T116 T118 N118">
    <cfRule type="cellIs" dxfId="559" priority="586" stopIfTrue="1" operator="equal">
      <formula>"G"</formula>
    </cfRule>
    <cfRule type="cellIs" dxfId="558" priority="587" stopIfTrue="1" operator="equal">
      <formula>"Y"</formula>
    </cfRule>
    <cfRule type="cellIs" dxfId="557" priority="588" stopIfTrue="1" operator="equal">
      <formula>"R"</formula>
    </cfRule>
  </conditionalFormatting>
  <conditionalFormatting sqref="N110:N116 T110:T116 T118 N118">
    <cfRule type="cellIs" dxfId="556" priority="582" stopIfTrue="1" operator="equal">
      <formula>"G"</formula>
    </cfRule>
    <cfRule type="cellIs" dxfId="555" priority="583" stopIfTrue="1" operator="equal">
      <formula>"Y"</formula>
    </cfRule>
    <cfRule type="cellIs" dxfId="554" priority="584" stopIfTrue="1" operator="equal">
      <formula>"C"</formula>
    </cfRule>
    <cfRule type="cellIs" dxfId="553" priority="585" stopIfTrue="1" operator="equal">
      <formula>"R"</formula>
    </cfRule>
  </conditionalFormatting>
  <conditionalFormatting sqref="N81:N86 T81:T86 T88:T89 N88:N89">
    <cfRule type="cellIs" dxfId="552" priority="600" stopIfTrue="1" operator="equal">
      <formula>"G"</formula>
    </cfRule>
    <cfRule type="cellIs" dxfId="551" priority="601" stopIfTrue="1" operator="equal">
      <formula>"Y"</formula>
    </cfRule>
    <cfRule type="cellIs" dxfId="550" priority="602" stopIfTrue="1" operator="equal">
      <formula>"R"</formula>
    </cfRule>
  </conditionalFormatting>
  <conditionalFormatting sqref="N81:N86 T81:T86 T88:T89 N88:N89">
    <cfRule type="cellIs" dxfId="549" priority="596" stopIfTrue="1" operator="equal">
      <formula>"G"</formula>
    </cfRule>
    <cfRule type="cellIs" dxfId="548" priority="597" stopIfTrue="1" operator="equal">
      <formula>"Y"</formula>
    </cfRule>
    <cfRule type="cellIs" dxfId="547" priority="598" stopIfTrue="1" operator="equal">
      <formula>"C"</formula>
    </cfRule>
    <cfRule type="cellIs" dxfId="546" priority="599" stopIfTrue="1" operator="equal">
      <formula>"R"</formula>
    </cfRule>
  </conditionalFormatting>
  <conditionalFormatting sqref="N99:N108 T99:T108">
    <cfRule type="cellIs" dxfId="545" priority="593" stopIfTrue="1" operator="equal">
      <formula>"G"</formula>
    </cfRule>
    <cfRule type="cellIs" dxfId="544" priority="594" stopIfTrue="1" operator="equal">
      <formula>"Y"</formula>
    </cfRule>
    <cfRule type="cellIs" dxfId="543" priority="595" stopIfTrue="1" operator="equal">
      <formula>"R"</formula>
    </cfRule>
  </conditionalFormatting>
  <conditionalFormatting sqref="N99:N108 T99:T108">
    <cfRule type="cellIs" dxfId="542" priority="589" stopIfTrue="1" operator="equal">
      <formula>"G"</formula>
    </cfRule>
    <cfRule type="cellIs" dxfId="541" priority="590" stopIfTrue="1" operator="equal">
      <formula>"Y"</formula>
    </cfRule>
    <cfRule type="cellIs" dxfId="540" priority="591" stopIfTrue="1" operator="equal">
      <formula>"C"</formula>
    </cfRule>
    <cfRule type="cellIs" dxfId="539" priority="592" stopIfTrue="1" operator="equal">
      <formula>"R"</formula>
    </cfRule>
  </conditionalFormatting>
  <conditionalFormatting sqref="N374:N381 T374:T381">
    <cfRule type="cellIs" dxfId="538" priority="558" stopIfTrue="1" operator="equal">
      <formula>"G"</formula>
    </cfRule>
    <cfRule type="cellIs" dxfId="537" priority="559" stopIfTrue="1" operator="equal">
      <formula>"Y"</formula>
    </cfRule>
    <cfRule type="cellIs" dxfId="536" priority="560" stopIfTrue="1" operator="equal">
      <formula>"R"</formula>
    </cfRule>
  </conditionalFormatting>
  <conditionalFormatting sqref="N374:N381 T374:T381">
    <cfRule type="cellIs" dxfId="535" priority="554" stopIfTrue="1" operator="equal">
      <formula>"G"</formula>
    </cfRule>
    <cfRule type="cellIs" dxfId="534" priority="555" stopIfTrue="1" operator="equal">
      <formula>"Y"</formula>
    </cfRule>
    <cfRule type="cellIs" dxfId="533" priority="556" stopIfTrue="1" operator="equal">
      <formula>"C"</formula>
    </cfRule>
    <cfRule type="cellIs" dxfId="532" priority="557" stopIfTrue="1" operator="equal">
      <formula>"R"</formula>
    </cfRule>
  </conditionalFormatting>
  <conditionalFormatting sqref="N98 T98">
    <cfRule type="cellIs" dxfId="531" priority="572" stopIfTrue="1" operator="equal">
      <formula>"G"</formula>
    </cfRule>
    <cfRule type="cellIs" dxfId="530" priority="573" stopIfTrue="1" operator="equal">
      <formula>"Y"</formula>
    </cfRule>
    <cfRule type="cellIs" dxfId="529" priority="574" stopIfTrue="1" operator="equal">
      <formula>"R"</formula>
    </cfRule>
  </conditionalFormatting>
  <conditionalFormatting sqref="N98 T98">
    <cfRule type="cellIs" dxfId="528" priority="568" stopIfTrue="1" operator="equal">
      <formula>"G"</formula>
    </cfRule>
    <cfRule type="cellIs" dxfId="527" priority="569" stopIfTrue="1" operator="equal">
      <formula>"Y"</formula>
    </cfRule>
    <cfRule type="cellIs" dxfId="526" priority="570" stopIfTrue="1" operator="equal">
      <formula>"C"</formula>
    </cfRule>
    <cfRule type="cellIs" dxfId="525" priority="571" stopIfTrue="1" operator="equal">
      <formula>"R"</formula>
    </cfRule>
  </conditionalFormatting>
  <conditionalFormatting sqref="N371 T371">
    <cfRule type="cellIs" dxfId="524" priority="551" stopIfTrue="1" operator="equal">
      <formula>"G"</formula>
    </cfRule>
    <cfRule type="cellIs" dxfId="523" priority="552" stopIfTrue="1" operator="equal">
      <formula>"Y"</formula>
    </cfRule>
    <cfRule type="cellIs" dxfId="522" priority="553" stopIfTrue="1" operator="equal">
      <formula>"R"</formula>
    </cfRule>
  </conditionalFormatting>
  <conditionalFormatting sqref="N371 T371">
    <cfRule type="cellIs" dxfId="521" priority="547" stopIfTrue="1" operator="equal">
      <formula>"G"</formula>
    </cfRule>
    <cfRule type="cellIs" dxfId="520" priority="548" stopIfTrue="1" operator="equal">
      <formula>"Y"</formula>
    </cfRule>
    <cfRule type="cellIs" dxfId="519" priority="549" stopIfTrue="1" operator="equal">
      <formula>"C"</formula>
    </cfRule>
    <cfRule type="cellIs" dxfId="518" priority="550" stopIfTrue="1" operator="equal">
      <formula>"R"</formula>
    </cfRule>
  </conditionalFormatting>
  <conditionalFormatting sqref="N109 T109">
    <cfRule type="cellIs" dxfId="517" priority="565" stopIfTrue="1" operator="equal">
      <formula>"G"</formula>
    </cfRule>
    <cfRule type="cellIs" dxfId="516" priority="566" stopIfTrue="1" operator="equal">
      <formula>"Y"</formula>
    </cfRule>
    <cfRule type="cellIs" dxfId="515" priority="567" stopIfTrue="1" operator="equal">
      <formula>"R"</formula>
    </cfRule>
  </conditionalFormatting>
  <conditionalFormatting sqref="N109 T109">
    <cfRule type="cellIs" dxfId="514" priority="561" stopIfTrue="1" operator="equal">
      <formula>"G"</formula>
    </cfRule>
    <cfRule type="cellIs" dxfId="513" priority="562" stopIfTrue="1" operator="equal">
      <formula>"Y"</formula>
    </cfRule>
    <cfRule type="cellIs" dxfId="512" priority="563" stopIfTrue="1" operator="equal">
      <formula>"C"</formula>
    </cfRule>
    <cfRule type="cellIs" dxfId="511" priority="564" stopIfTrue="1" operator="equal">
      <formula>"R"</formula>
    </cfRule>
  </conditionalFormatting>
  <conditionalFormatting sqref="N306:N318 T306:T318">
    <cfRule type="cellIs" dxfId="510" priority="544" stopIfTrue="1" operator="equal">
      <formula>"G"</formula>
    </cfRule>
    <cfRule type="cellIs" dxfId="509" priority="545" stopIfTrue="1" operator="equal">
      <formula>"Y"</formula>
    </cfRule>
    <cfRule type="cellIs" dxfId="508" priority="546" stopIfTrue="1" operator="equal">
      <formula>"R"</formula>
    </cfRule>
  </conditionalFormatting>
  <conditionalFormatting sqref="N306:N318 T306:T318">
    <cfRule type="cellIs" dxfId="507" priority="540" stopIfTrue="1" operator="equal">
      <formula>"G"</formula>
    </cfRule>
    <cfRule type="cellIs" dxfId="506" priority="541" stopIfTrue="1" operator="equal">
      <formula>"Y"</formula>
    </cfRule>
    <cfRule type="cellIs" dxfId="505" priority="542" stopIfTrue="1" operator="equal">
      <formula>"C"</formula>
    </cfRule>
    <cfRule type="cellIs" dxfId="504" priority="543" stopIfTrue="1" operator="equal">
      <formula>"R"</formula>
    </cfRule>
  </conditionalFormatting>
  <conditionalFormatting sqref="N67:N70 T67:T70">
    <cfRule type="cellIs" dxfId="503" priority="530" stopIfTrue="1" operator="equal">
      <formula>"G"</formula>
    </cfRule>
    <cfRule type="cellIs" dxfId="502" priority="531" stopIfTrue="1" operator="equal">
      <formula>"Y"</formula>
    </cfRule>
    <cfRule type="cellIs" dxfId="501" priority="532" stopIfTrue="1" operator="equal">
      <formula>"R"</formula>
    </cfRule>
  </conditionalFormatting>
  <conditionalFormatting sqref="N67:N70 T67:T70">
    <cfRule type="cellIs" dxfId="500" priority="526" stopIfTrue="1" operator="equal">
      <formula>"G"</formula>
    </cfRule>
    <cfRule type="cellIs" dxfId="499" priority="527" stopIfTrue="1" operator="equal">
      <formula>"Y"</formula>
    </cfRule>
    <cfRule type="cellIs" dxfId="498" priority="528" stopIfTrue="1" operator="equal">
      <formula>"C"</formula>
    </cfRule>
    <cfRule type="cellIs" dxfId="497" priority="529" stopIfTrue="1" operator="equal">
      <formula>"R"</formula>
    </cfRule>
  </conditionalFormatting>
  <conditionalFormatting sqref="N66 T66">
    <cfRule type="cellIs" dxfId="496" priority="523" stopIfTrue="1" operator="equal">
      <formula>"G"</formula>
    </cfRule>
    <cfRule type="cellIs" dxfId="495" priority="524" stopIfTrue="1" operator="equal">
      <formula>"Y"</formula>
    </cfRule>
    <cfRule type="cellIs" dxfId="494" priority="525" stopIfTrue="1" operator="equal">
      <formula>"R"</formula>
    </cfRule>
  </conditionalFormatting>
  <conditionalFormatting sqref="N66 T66">
    <cfRule type="cellIs" dxfId="493" priority="519" stopIfTrue="1" operator="equal">
      <formula>"G"</formula>
    </cfRule>
    <cfRule type="cellIs" dxfId="492" priority="520" stopIfTrue="1" operator="equal">
      <formula>"Y"</formula>
    </cfRule>
    <cfRule type="cellIs" dxfId="491" priority="521" stopIfTrue="1" operator="equal">
      <formula>"C"</formula>
    </cfRule>
    <cfRule type="cellIs" dxfId="490" priority="522" stopIfTrue="1" operator="equal">
      <formula>"R"</formula>
    </cfRule>
  </conditionalFormatting>
  <conditionalFormatting sqref="N305 T305">
    <cfRule type="cellIs" dxfId="489" priority="537" stopIfTrue="1" operator="equal">
      <formula>"G"</formula>
    </cfRule>
    <cfRule type="cellIs" dxfId="488" priority="538" stopIfTrue="1" operator="equal">
      <formula>"Y"</formula>
    </cfRule>
    <cfRule type="cellIs" dxfId="487" priority="539" stopIfTrue="1" operator="equal">
      <formula>"R"</formula>
    </cfRule>
  </conditionalFormatting>
  <conditionalFormatting sqref="N305 T305">
    <cfRule type="cellIs" dxfId="486" priority="533" stopIfTrue="1" operator="equal">
      <formula>"G"</formula>
    </cfRule>
    <cfRule type="cellIs" dxfId="485" priority="534" stopIfTrue="1" operator="equal">
      <formula>"Y"</formula>
    </cfRule>
    <cfRule type="cellIs" dxfId="484" priority="535" stopIfTrue="1" operator="equal">
      <formula>"C"</formula>
    </cfRule>
    <cfRule type="cellIs" dxfId="483" priority="536" stopIfTrue="1" operator="equal">
      <formula>"R"</formula>
    </cfRule>
  </conditionalFormatting>
  <conditionalFormatting sqref="N71 T71">
    <cfRule type="cellIs" dxfId="482" priority="509" stopIfTrue="1" operator="equal">
      <formula>"G"</formula>
    </cfRule>
    <cfRule type="cellIs" dxfId="481" priority="510" stopIfTrue="1" operator="equal">
      <formula>"Y"</formula>
    </cfRule>
    <cfRule type="cellIs" dxfId="480" priority="511" stopIfTrue="1" operator="equal">
      <formula>"R"</formula>
    </cfRule>
  </conditionalFormatting>
  <conditionalFormatting sqref="N71 T71">
    <cfRule type="cellIs" dxfId="479" priority="505" stopIfTrue="1" operator="equal">
      <formula>"G"</formula>
    </cfRule>
    <cfRule type="cellIs" dxfId="478" priority="506" stopIfTrue="1" operator="equal">
      <formula>"Y"</formula>
    </cfRule>
    <cfRule type="cellIs" dxfId="477" priority="507" stopIfTrue="1" operator="equal">
      <formula>"C"</formula>
    </cfRule>
    <cfRule type="cellIs" dxfId="476" priority="508" stopIfTrue="1" operator="equal">
      <formula>"R"</formula>
    </cfRule>
  </conditionalFormatting>
  <conditionalFormatting sqref="T75 N75">
    <cfRule type="cellIs" dxfId="475" priority="502" stopIfTrue="1" operator="equal">
      <formula>"G"</formula>
    </cfRule>
    <cfRule type="cellIs" dxfId="474" priority="503" stopIfTrue="1" operator="equal">
      <formula>"Y"</formula>
    </cfRule>
    <cfRule type="cellIs" dxfId="473" priority="504" stopIfTrue="1" operator="equal">
      <formula>"R"</formula>
    </cfRule>
  </conditionalFormatting>
  <conditionalFormatting sqref="T75 N75">
    <cfRule type="cellIs" dxfId="472" priority="498" stopIfTrue="1" operator="equal">
      <formula>"G"</formula>
    </cfRule>
    <cfRule type="cellIs" dxfId="471" priority="499" stopIfTrue="1" operator="equal">
      <formula>"Y"</formula>
    </cfRule>
    <cfRule type="cellIs" dxfId="470" priority="500" stopIfTrue="1" operator="equal">
      <formula>"C"</formula>
    </cfRule>
    <cfRule type="cellIs" dxfId="469" priority="501" stopIfTrue="1" operator="equal">
      <formula>"R"</formula>
    </cfRule>
  </conditionalFormatting>
  <conditionalFormatting sqref="N72:N74 T72:T74">
    <cfRule type="cellIs" dxfId="468" priority="516" stopIfTrue="1" operator="equal">
      <formula>"G"</formula>
    </cfRule>
    <cfRule type="cellIs" dxfId="467" priority="517" stopIfTrue="1" operator="equal">
      <formula>"Y"</formula>
    </cfRule>
    <cfRule type="cellIs" dxfId="466" priority="518" stopIfTrue="1" operator="equal">
      <formula>"R"</formula>
    </cfRule>
  </conditionalFormatting>
  <conditionalFormatting sqref="N72:N74 T72:T74">
    <cfRule type="cellIs" dxfId="465" priority="512" stopIfTrue="1" operator="equal">
      <formula>"G"</formula>
    </cfRule>
    <cfRule type="cellIs" dxfId="464" priority="513" stopIfTrue="1" operator="equal">
      <formula>"Y"</formula>
    </cfRule>
    <cfRule type="cellIs" dxfId="463" priority="514" stopIfTrue="1" operator="equal">
      <formula>"C"</formula>
    </cfRule>
    <cfRule type="cellIs" dxfId="462" priority="515" stopIfTrue="1" operator="equal">
      <formula>"R"</formula>
    </cfRule>
  </conditionalFormatting>
  <conditionalFormatting sqref="T77 N77">
    <cfRule type="cellIs" dxfId="461" priority="495" stopIfTrue="1" operator="equal">
      <formula>"G"</formula>
    </cfRule>
    <cfRule type="cellIs" dxfId="460" priority="496" stopIfTrue="1" operator="equal">
      <formula>"Y"</formula>
    </cfRule>
    <cfRule type="cellIs" dxfId="459" priority="497" stopIfTrue="1" operator="equal">
      <formula>"R"</formula>
    </cfRule>
  </conditionalFormatting>
  <conditionalFormatting sqref="T77 N77">
    <cfRule type="cellIs" dxfId="458" priority="491" stopIfTrue="1" operator="equal">
      <formula>"G"</formula>
    </cfRule>
    <cfRule type="cellIs" dxfId="457" priority="492" stopIfTrue="1" operator="equal">
      <formula>"Y"</formula>
    </cfRule>
    <cfRule type="cellIs" dxfId="456" priority="493" stopIfTrue="1" operator="equal">
      <formula>"C"</formula>
    </cfRule>
    <cfRule type="cellIs" dxfId="455" priority="494" stopIfTrue="1" operator="equal">
      <formula>"R"</formula>
    </cfRule>
  </conditionalFormatting>
  <conditionalFormatting sqref="T76 N76">
    <cfRule type="cellIs" dxfId="454" priority="488" stopIfTrue="1" operator="equal">
      <formula>"G"</formula>
    </cfRule>
    <cfRule type="cellIs" dxfId="453" priority="489" stopIfTrue="1" operator="equal">
      <formula>"Y"</formula>
    </cfRule>
    <cfRule type="cellIs" dxfId="452" priority="490" stopIfTrue="1" operator="equal">
      <formula>"R"</formula>
    </cfRule>
  </conditionalFormatting>
  <conditionalFormatting sqref="T76 N76">
    <cfRule type="cellIs" dxfId="451" priority="484" stopIfTrue="1" operator="equal">
      <formula>"G"</formula>
    </cfRule>
    <cfRule type="cellIs" dxfId="450" priority="485" stopIfTrue="1" operator="equal">
      <formula>"Y"</formula>
    </cfRule>
    <cfRule type="cellIs" dxfId="449" priority="486" stopIfTrue="1" operator="equal">
      <formula>"C"</formula>
    </cfRule>
    <cfRule type="cellIs" dxfId="448" priority="487" stopIfTrue="1" operator="equal">
      <formula>"R"</formula>
    </cfRule>
  </conditionalFormatting>
  <conditionalFormatting sqref="T78 N78">
    <cfRule type="cellIs" dxfId="447" priority="481" stopIfTrue="1" operator="equal">
      <formula>"G"</formula>
    </cfRule>
    <cfRule type="cellIs" dxfId="446" priority="482" stopIfTrue="1" operator="equal">
      <formula>"Y"</formula>
    </cfRule>
    <cfRule type="cellIs" dxfId="445" priority="483" stopIfTrue="1" operator="equal">
      <formula>"R"</formula>
    </cfRule>
  </conditionalFormatting>
  <conditionalFormatting sqref="T78 N78">
    <cfRule type="cellIs" dxfId="444" priority="477" stopIfTrue="1" operator="equal">
      <formula>"G"</formula>
    </cfRule>
    <cfRule type="cellIs" dxfId="443" priority="478" stopIfTrue="1" operator="equal">
      <formula>"Y"</formula>
    </cfRule>
    <cfRule type="cellIs" dxfId="442" priority="479" stopIfTrue="1" operator="equal">
      <formula>"C"</formula>
    </cfRule>
    <cfRule type="cellIs" dxfId="441" priority="480" stopIfTrue="1" operator="equal">
      <formula>"R"</formula>
    </cfRule>
  </conditionalFormatting>
  <conditionalFormatting sqref="N79 T79">
    <cfRule type="cellIs" dxfId="440" priority="474" stopIfTrue="1" operator="equal">
      <formula>"G"</formula>
    </cfRule>
    <cfRule type="cellIs" dxfId="439" priority="475" stopIfTrue="1" operator="equal">
      <formula>"Y"</formula>
    </cfRule>
    <cfRule type="cellIs" dxfId="438" priority="476" stopIfTrue="1" operator="equal">
      <formula>"R"</formula>
    </cfRule>
  </conditionalFormatting>
  <conditionalFormatting sqref="N79 T79">
    <cfRule type="cellIs" dxfId="437" priority="470" stopIfTrue="1" operator="equal">
      <formula>"G"</formula>
    </cfRule>
    <cfRule type="cellIs" dxfId="436" priority="471" stopIfTrue="1" operator="equal">
      <formula>"Y"</formula>
    </cfRule>
    <cfRule type="cellIs" dxfId="435" priority="472" stopIfTrue="1" operator="equal">
      <formula>"C"</formula>
    </cfRule>
    <cfRule type="cellIs" dxfId="434" priority="473" stopIfTrue="1" operator="equal">
      <formula>"R"</formula>
    </cfRule>
  </conditionalFormatting>
  <conditionalFormatting sqref="N159 T159">
    <cfRule type="cellIs" dxfId="433" priority="467" stopIfTrue="1" operator="equal">
      <formula>"G"</formula>
    </cfRule>
    <cfRule type="cellIs" dxfId="432" priority="468" stopIfTrue="1" operator="equal">
      <formula>"Y"</formula>
    </cfRule>
    <cfRule type="cellIs" dxfId="431" priority="469" stopIfTrue="1" operator="equal">
      <formula>"R"</formula>
    </cfRule>
  </conditionalFormatting>
  <conditionalFormatting sqref="N159 T159">
    <cfRule type="cellIs" dxfId="430" priority="463" stopIfTrue="1" operator="equal">
      <formula>"G"</formula>
    </cfRule>
    <cfRule type="cellIs" dxfId="429" priority="464" stopIfTrue="1" operator="equal">
      <formula>"Y"</formula>
    </cfRule>
    <cfRule type="cellIs" dxfId="428" priority="465" stopIfTrue="1" operator="equal">
      <formula>"C"</formula>
    </cfRule>
    <cfRule type="cellIs" dxfId="427" priority="466" stopIfTrue="1" operator="equal">
      <formula>"R"</formula>
    </cfRule>
  </conditionalFormatting>
  <conditionalFormatting sqref="N277 T277">
    <cfRule type="cellIs" dxfId="426" priority="460" stopIfTrue="1" operator="equal">
      <formula>"G"</formula>
    </cfRule>
    <cfRule type="cellIs" dxfId="425" priority="461" stopIfTrue="1" operator="equal">
      <formula>"Y"</formula>
    </cfRule>
    <cfRule type="cellIs" dxfId="424" priority="462" stopIfTrue="1" operator="equal">
      <formula>"R"</formula>
    </cfRule>
  </conditionalFormatting>
  <conditionalFormatting sqref="N277 T277">
    <cfRule type="cellIs" dxfId="423" priority="456" stopIfTrue="1" operator="equal">
      <formula>"G"</formula>
    </cfRule>
    <cfRule type="cellIs" dxfId="422" priority="457" stopIfTrue="1" operator="equal">
      <formula>"Y"</formula>
    </cfRule>
    <cfRule type="cellIs" dxfId="421" priority="458" stopIfTrue="1" operator="equal">
      <formula>"C"</formula>
    </cfRule>
    <cfRule type="cellIs" dxfId="420" priority="459" stopIfTrue="1" operator="equal">
      <formula>"R"</formula>
    </cfRule>
  </conditionalFormatting>
  <conditionalFormatting sqref="N284:N290 T284:T290">
    <cfRule type="cellIs" dxfId="419" priority="449" stopIfTrue="1" operator="equal">
      <formula>"G"</formula>
    </cfRule>
    <cfRule type="cellIs" dxfId="418" priority="450" stopIfTrue="1" operator="equal">
      <formula>"Y"</formula>
    </cfRule>
    <cfRule type="cellIs" dxfId="417" priority="451" stopIfTrue="1" operator="equal">
      <formula>"C"</formula>
    </cfRule>
    <cfRule type="cellIs" dxfId="416" priority="452" stopIfTrue="1" operator="equal">
      <formula>"R"</formula>
    </cfRule>
  </conditionalFormatting>
  <conditionalFormatting sqref="N284:N290 T284:T290">
    <cfRule type="cellIs" dxfId="415" priority="453" stopIfTrue="1" operator="equal">
      <formula>"G"</formula>
    </cfRule>
    <cfRule type="cellIs" dxfId="414" priority="454" stopIfTrue="1" operator="equal">
      <formula>"Y"</formula>
    </cfRule>
    <cfRule type="cellIs" dxfId="413" priority="455" stopIfTrue="1" operator="equal">
      <formula>"R"</formula>
    </cfRule>
  </conditionalFormatting>
  <conditionalFormatting sqref="N283 T283">
    <cfRule type="cellIs" dxfId="412" priority="446" stopIfTrue="1" operator="equal">
      <formula>"G"</formula>
    </cfRule>
    <cfRule type="cellIs" dxfId="411" priority="447" stopIfTrue="1" operator="equal">
      <formula>"Y"</formula>
    </cfRule>
    <cfRule type="cellIs" dxfId="410" priority="448" stopIfTrue="1" operator="equal">
      <formula>"R"</formula>
    </cfRule>
  </conditionalFormatting>
  <conditionalFormatting sqref="N283 T283">
    <cfRule type="cellIs" dxfId="409" priority="442" stopIfTrue="1" operator="equal">
      <formula>"G"</formula>
    </cfRule>
    <cfRule type="cellIs" dxfId="408" priority="443" stopIfTrue="1" operator="equal">
      <formula>"Y"</formula>
    </cfRule>
    <cfRule type="cellIs" dxfId="407" priority="444" stopIfTrue="1" operator="equal">
      <formula>"C"</formula>
    </cfRule>
    <cfRule type="cellIs" dxfId="406" priority="445" stopIfTrue="1" operator="equal">
      <formula>"R"</formula>
    </cfRule>
  </conditionalFormatting>
  <conditionalFormatting sqref="N291 T291">
    <cfRule type="cellIs" dxfId="405" priority="439" stopIfTrue="1" operator="equal">
      <formula>"G"</formula>
    </cfRule>
    <cfRule type="cellIs" dxfId="404" priority="440" stopIfTrue="1" operator="equal">
      <formula>"Y"</formula>
    </cfRule>
    <cfRule type="cellIs" dxfId="403" priority="441" stopIfTrue="1" operator="equal">
      <formula>"R"</formula>
    </cfRule>
  </conditionalFormatting>
  <conditionalFormatting sqref="N291 T291">
    <cfRule type="cellIs" dxfId="402" priority="435" stopIfTrue="1" operator="equal">
      <formula>"G"</formula>
    </cfRule>
    <cfRule type="cellIs" dxfId="401" priority="436" stopIfTrue="1" operator="equal">
      <formula>"Y"</formula>
    </cfRule>
    <cfRule type="cellIs" dxfId="400" priority="437" stopIfTrue="1" operator="equal">
      <formula>"C"</formula>
    </cfRule>
    <cfRule type="cellIs" dxfId="399" priority="438" stopIfTrue="1" operator="equal">
      <formula>"R"</formula>
    </cfRule>
  </conditionalFormatting>
  <conditionalFormatting sqref="N353 T353">
    <cfRule type="cellIs" dxfId="398" priority="432" stopIfTrue="1" operator="equal">
      <formula>"G"</formula>
    </cfRule>
    <cfRule type="cellIs" dxfId="397" priority="433" stopIfTrue="1" operator="equal">
      <formula>"Y"</formula>
    </cfRule>
    <cfRule type="cellIs" dxfId="396" priority="434" stopIfTrue="1" operator="equal">
      <formula>"R"</formula>
    </cfRule>
  </conditionalFormatting>
  <conditionalFormatting sqref="N353 T353">
    <cfRule type="cellIs" dxfId="395" priority="428" stopIfTrue="1" operator="equal">
      <formula>"G"</formula>
    </cfRule>
    <cfRule type="cellIs" dxfId="394" priority="429" stopIfTrue="1" operator="equal">
      <formula>"Y"</formula>
    </cfRule>
    <cfRule type="cellIs" dxfId="393" priority="430" stopIfTrue="1" operator="equal">
      <formula>"C"</formula>
    </cfRule>
    <cfRule type="cellIs" dxfId="392" priority="431" stopIfTrue="1" operator="equal">
      <formula>"R"</formula>
    </cfRule>
  </conditionalFormatting>
  <conditionalFormatting sqref="N281 T281">
    <cfRule type="cellIs" dxfId="391" priority="411" stopIfTrue="1" operator="equal">
      <formula>"G"</formula>
    </cfRule>
    <cfRule type="cellIs" dxfId="390" priority="412" stopIfTrue="1" operator="equal">
      <formula>"Y"</formula>
    </cfRule>
    <cfRule type="cellIs" dxfId="389" priority="413" stopIfTrue="1" operator="equal">
      <formula>"R"</formula>
    </cfRule>
  </conditionalFormatting>
  <conditionalFormatting sqref="N281 T281">
    <cfRule type="cellIs" dxfId="388" priority="407" stopIfTrue="1" operator="equal">
      <formula>"G"</formula>
    </cfRule>
    <cfRule type="cellIs" dxfId="387" priority="408" stopIfTrue="1" operator="equal">
      <formula>"Y"</formula>
    </cfRule>
    <cfRule type="cellIs" dxfId="386" priority="409" stopIfTrue="1" operator="equal">
      <formula>"C"</formula>
    </cfRule>
    <cfRule type="cellIs" dxfId="385" priority="410" stopIfTrue="1" operator="equal">
      <formula>"R"</formula>
    </cfRule>
  </conditionalFormatting>
  <conditionalFormatting sqref="N280 T280">
    <cfRule type="cellIs" dxfId="384" priority="418" stopIfTrue="1" operator="equal">
      <formula>"G"</formula>
    </cfRule>
    <cfRule type="cellIs" dxfId="383" priority="419" stopIfTrue="1" operator="equal">
      <formula>"Y"</formula>
    </cfRule>
    <cfRule type="cellIs" dxfId="382" priority="420" stopIfTrue="1" operator="equal">
      <formula>"R"</formula>
    </cfRule>
  </conditionalFormatting>
  <conditionalFormatting sqref="N280 T280">
    <cfRule type="cellIs" dxfId="381" priority="414" stopIfTrue="1" operator="equal">
      <formula>"G"</formula>
    </cfRule>
    <cfRule type="cellIs" dxfId="380" priority="415" stopIfTrue="1" operator="equal">
      <formula>"Y"</formula>
    </cfRule>
    <cfRule type="cellIs" dxfId="379" priority="416" stopIfTrue="1" operator="equal">
      <formula>"C"</formula>
    </cfRule>
    <cfRule type="cellIs" dxfId="378" priority="417" stopIfTrue="1" operator="equal">
      <formula>"R"</formula>
    </cfRule>
  </conditionalFormatting>
  <conditionalFormatting sqref="N279 T279">
    <cfRule type="cellIs" dxfId="377" priority="393" stopIfTrue="1" operator="equal">
      <formula>"G"</formula>
    </cfRule>
    <cfRule type="cellIs" dxfId="376" priority="394" stopIfTrue="1" operator="equal">
      <formula>"Y"</formula>
    </cfRule>
    <cfRule type="cellIs" dxfId="375" priority="395" stopIfTrue="1" operator="equal">
      <formula>"C"</formula>
    </cfRule>
    <cfRule type="cellIs" dxfId="374" priority="396" stopIfTrue="1" operator="equal">
      <formula>"R"</formula>
    </cfRule>
  </conditionalFormatting>
  <conditionalFormatting sqref="N279 T279">
    <cfRule type="cellIs" dxfId="373" priority="397" stopIfTrue="1" operator="equal">
      <formula>"G"</formula>
    </cfRule>
    <cfRule type="cellIs" dxfId="372" priority="398" stopIfTrue="1" operator="equal">
      <formula>"Y"</formula>
    </cfRule>
    <cfRule type="cellIs" dxfId="371" priority="399" stopIfTrue="1" operator="equal">
      <formula>"R"</formula>
    </cfRule>
  </conditionalFormatting>
  <conditionalFormatting sqref="N278 T278">
    <cfRule type="cellIs" dxfId="370" priority="404" stopIfTrue="1" operator="equal">
      <formula>"G"</formula>
    </cfRule>
    <cfRule type="cellIs" dxfId="369" priority="405" stopIfTrue="1" operator="equal">
      <formula>"Y"</formula>
    </cfRule>
    <cfRule type="cellIs" dxfId="368" priority="406" stopIfTrue="1" operator="equal">
      <formula>"R"</formula>
    </cfRule>
  </conditionalFormatting>
  <conditionalFormatting sqref="N278 T278">
    <cfRule type="cellIs" dxfId="367" priority="400" stopIfTrue="1" operator="equal">
      <formula>"G"</formula>
    </cfRule>
    <cfRule type="cellIs" dxfId="366" priority="401" stopIfTrue="1" operator="equal">
      <formula>"Y"</formula>
    </cfRule>
    <cfRule type="cellIs" dxfId="365" priority="402" stopIfTrue="1" operator="equal">
      <formula>"C"</formula>
    </cfRule>
    <cfRule type="cellIs" dxfId="364" priority="403" stopIfTrue="1" operator="equal">
      <formula>"R"</formula>
    </cfRule>
  </conditionalFormatting>
  <conditionalFormatting sqref="N346:N352 T346:T352">
    <cfRule type="cellIs" dxfId="363" priority="386" stopIfTrue="1" operator="equal">
      <formula>"G"</formula>
    </cfRule>
    <cfRule type="cellIs" dxfId="362" priority="387" stopIfTrue="1" operator="equal">
      <formula>"Y"</formula>
    </cfRule>
    <cfRule type="cellIs" dxfId="361" priority="388" stopIfTrue="1" operator="equal">
      <formula>"C"</formula>
    </cfRule>
    <cfRule type="cellIs" dxfId="360" priority="389" stopIfTrue="1" operator="equal">
      <formula>"R"</formula>
    </cfRule>
  </conditionalFormatting>
  <conditionalFormatting sqref="N346:N352 T346:T352">
    <cfRule type="cellIs" dxfId="359" priority="390" stopIfTrue="1" operator="equal">
      <formula>"G"</formula>
    </cfRule>
    <cfRule type="cellIs" dxfId="358" priority="391" stopIfTrue="1" operator="equal">
      <formula>"Y"</formula>
    </cfRule>
    <cfRule type="cellIs" dxfId="357" priority="392" stopIfTrue="1" operator="equal">
      <formula>"R"</formula>
    </cfRule>
  </conditionalFormatting>
  <conditionalFormatting sqref="N345 T345">
    <cfRule type="cellIs" dxfId="356" priority="379" stopIfTrue="1" operator="equal">
      <formula>"G"</formula>
    </cfRule>
    <cfRule type="cellIs" dxfId="355" priority="380" stopIfTrue="1" operator="equal">
      <formula>"Y"</formula>
    </cfRule>
    <cfRule type="cellIs" dxfId="354" priority="381" stopIfTrue="1" operator="equal">
      <formula>"C"</formula>
    </cfRule>
    <cfRule type="cellIs" dxfId="353" priority="382" stopIfTrue="1" operator="equal">
      <formula>"R"</formula>
    </cfRule>
  </conditionalFormatting>
  <conditionalFormatting sqref="N345 T345">
    <cfRule type="cellIs" dxfId="352" priority="383" stopIfTrue="1" operator="equal">
      <formula>"G"</formula>
    </cfRule>
    <cfRule type="cellIs" dxfId="351" priority="384" stopIfTrue="1" operator="equal">
      <formula>"Y"</formula>
    </cfRule>
    <cfRule type="cellIs" dxfId="350" priority="385" stopIfTrue="1" operator="equal">
      <formula>"R"</formula>
    </cfRule>
  </conditionalFormatting>
  <conditionalFormatting sqref="N330:N336 T330:T336">
    <cfRule type="cellIs" dxfId="349" priority="376" stopIfTrue="1" operator="equal">
      <formula>"G"</formula>
    </cfRule>
    <cfRule type="cellIs" dxfId="348" priority="377" stopIfTrue="1" operator="equal">
      <formula>"Y"</formula>
    </cfRule>
    <cfRule type="cellIs" dxfId="347" priority="378" stopIfTrue="1" operator="equal">
      <formula>"R"</formula>
    </cfRule>
  </conditionalFormatting>
  <conditionalFormatting sqref="N330:N336 T330:T336">
    <cfRule type="cellIs" dxfId="346" priority="372" stopIfTrue="1" operator="equal">
      <formula>"G"</formula>
    </cfRule>
    <cfRule type="cellIs" dxfId="345" priority="373" stopIfTrue="1" operator="equal">
      <formula>"Y"</formula>
    </cfRule>
    <cfRule type="cellIs" dxfId="344" priority="374" stopIfTrue="1" operator="equal">
      <formula>"C"</formula>
    </cfRule>
    <cfRule type="cellIs" dxfId="343" priority="375" stopIfTrue="1" operator="equal">
      <formula>"R"</formula>
    </cfRule>
  </conditionalFormatting>
  <conditionalFormatting sqref="N363:N369 T363:T369">
    <cfRule type="cellIs" dxfId="342" priority="358" stopIfTrue="1" operator="equal">
      <formula>"G"</formula>
    </cfRule>
    <cfRule type="cellIs" dxfId="341" priority="359" stopIfTrue="1" operator="equal">
      <formula>"Y"</formula>
    </cfRule>
    <cfRule type="cellIs" dxfId="340" priority="360" stopIfTrue="1" operator="equal">
      <formula>"C"</formula>
    </cfRule>
    <cfRule type="cellIs" dxfId="339" priority="361" stopIfTrue="1" operator="equal">
      <formula>"R"</formula>
    </cfRule>
  </conditionalFormatting>
  <conditionalFormatting sqref="N363:N369 T363:T369">
    <cfRule type="cellIs" dxfId="338" priority="362" stopIfTrue="1" operator="equal">
      <formula>"G"</formula>
    </cfRule>
    <cfRule type="cellIs" dxfId="337" priority="363" stopIfTrue="1" operator="equal">
      <formula>"Y"</formula>
    </cfRule>
    <cfRule type="cellIs" dxfId="336" priority="364" stopIfTrue="1" operator="equal">
      <formula>"R"</formula>
    </cfRule>
  </conditionalFormatting>
  <conditionalFormatting sqref="N329 T329">
    <cfRule type="cellIs" dxfId="335" priority="369" stopIfTrue="1" operator="equal">
      <formula>"G"</formula>
    </cfRule>
    <cfRule type="cellIs" dxfId="334" priority="370" stopIfTrue="1" operator="equal">
      <formula>"Y"</formula>
    </cfRule>
    <cfRule type="cellIs" dxfId="333" priority="371" stopIfTrue="1" operator="equal">
      <formula>"R"</formula>
    </cfRule>
  </conditionalFormatting>
  <conditionalFormatting sqref="N329 T329">
    <cfRule type="cellIs" dxfId="332" priority="365" stopIfTrue="1" operator="equal">
      <formula>"G"</formula>
    </cfRule>
    <cfRule type="cellIs" dxfId="331" priority="366" stopIfTrue="1" operator="equal">
      <formula>"Y"</formula>
    </cfRule>
    <cfRule type="cellIs" dxfId="330" priority="367" stopIfTrue="1" operator="equal">
      <formula>"C"</formula>
    </cfRule>
    <cfRule type="cellIs" dxfId="329" priority="368" stopIfTrue="1" operator="equal">
      <formula>"R"</formula>
    </cfRule>
  </conditionalFormatting>
  <conditionalFormatting sqref="N338:N344 T338:T344">
    <cfRule type="cellIs" dxfId="328" priority="344" stopIfTrue="1" operator="equal">
      <formula>"G"</formula>
    </cfRule>
    <cfRule type="cellIs" dxfId="327" priority="345" stopIfTrue="1" operator="equal">
      <formula>"Y"</formula>
    </cfRule>
    <cfRule type="cellIs" dxfId="326" priority="346" stopIfTrue="1" operator="equal">
      <formula>"C"</formula>
    </cfRule>
    <cfRule type="cellIs" dxfId="325" priority="347" stopIfTrue="1" operator="equal">
      <formula>"R"</formula>
    </cfRule>
  </conditionalFormatting>
  <conditionalFormatting sqref="N338:N344 T338:T344">
    <cfRule type="cellIs" dxfId="324" priority="348" stopIfTrue="1" operator="equal">
      <formula>"G"</formula>
    </cfRule>
    <cfRule type="cellIs" dxfId="323" priority="349" stopIfTrue="1" operator="equal">
      <formula>"Y"</formula>
    </cfRule>
    <cfRule type="cellIs" dxfId="322" priority="350" stopIfTrue="1" operator="equal">
      <formula>"R"</formula>
    </cfRule>
  </conditionalFormatting>
  <conditionalFormatting sqref="N362 T362">
    <cfRule type="cellIs" dxfId="321" priority="355" stopIfTrue="1" operator="equal">
      <formula>"G"</formula>
    </cfRule>
    <cfRule type="cellIs" dxfId="320" priority="356" stopIfTrue="1" operator="equal">
      <formula>"Y"</formula>
    </cfRule>
    <cfRule type="cellIs" dxfId="319" priority="357" stopIfTrue="1" operator="equal">
      <formula>"R"</formula>
    </cfRule>
  </conditionalFormatting>
  <conditionalFormatting sqref="N362 T362">
    <cfRule type="cellIs" dxfId="318" priority="351" stopIfTrue="1" operator="equal">
      <formula>"G"</formula>
    </cfRule>
    <cfRule type="cellIs" dxfId="317" priority="352" stopIfTrue="1" operator="equal">
      <formula>"Y"</formula>
    </cfRule>
    <cfRule type="cellIs" dxfId="316" priority="353" stopIfTrue="1" operator="equal">
      <formula>"C"</formula>
    </cfRule>
    <cfRule type="cellIs" dxfId="315" priority="354" stopIfTrue="1" operator="equal">
      <formula>"R"</formula>
    </cfRule>
  </conditionalFormatting>
  <conditionalFormatting sqref="N337 T337">
    <cfRule type="cellIs" dxfId="314" priority="337" stopIfTrue="1" operator="equal">
      <formula>"G"</formula>
    </cfRule>
    <cfRule type="cellIs" dxfId="313" priority="338" stopIfTrue="1" operator="equal">
      <formula>"Y"</formula>
    </cfRule>
    <cfRule type="cellIs" dxfId="312" priority="339" stopIfTrue="1" operator="equal">
      <formula>"C"</formula>
    </cfRule>
    <cfRule type="cellIs" dxfId="311" priority="340" stopIfTrue="1" operator="equal">
      <formula>"R"</formula>
    </cfRule>
  </conditionalFormatting>
  <conditionalFormatting sqref="N337 T337">
    <cfRule type="cellIs" dxfId="310" priority="341" stopIfTrue="1" operator="equal">
      <formula>"G"</formula>
    </cfRule>
    <cfRule type="cellIs" dxfId="309" priority="342" stopIfTrue="1" operator="equal">
      <formula>"Y"</formula>
    </cfRule>
    <cfRule type="cellIs" dxfId="308" priority="343" stopIfTrue="1" operator="equal">
      <formula>"R"</formula>
    </cfRule>
  </conditionalFormatting>
  <conditionalFormatting sqref="N355:N361 T355:T361">
    <cfRule type="cellIs" dxfId="307" priority="334" stopIfTrue="1" operator="equal">
      <formula>"G"</formula>
    </cfRule>
    <cfRule type="cellIs" dxfId="306" priority="335" stopIfTrue="1" operator="equal">
      <formula>"Y"</formula>
    </cfRule>
    <cfRule type="cellIs" dxfId="305" priority="336" stopIfTrue="1" operator="equal">
      <formula>"R"</formula>
    </cfRule>
  </conditionalFormatting>
  <conditionalFormatting sqref="N355:N361 T355:T361">
    <cfRule type="cellIs" dxfId="304" priority="330" stopIfTrue="1" operator="equal">
      <formula>"G"</formula>
    </cfRule>
    <cfRule type="cellIs" dxfId="303" priority="331" stopIfTrue="1" operator="equal">
      <formula>"Y"</formula>
    </cfRule>
    <cfRule type="cellIs" dxfId="302" priority="332" stopIfTrue="1" operator="equal">
      <formula>"C"</formula>
    </cfRule>
    <cfRule type="cellIs" dxfId="301" priority="333" stopIfTrue="1" operator="equal">
      <formula>"R"</formula>
    </cfRule>
  </conditionalFormatting>
  <conditionalFormatting sqref="N354 T354">
    <cfRule type="cellIs" dxfId="300" priority="323" stopIfTrue="1" operator="equal">
      <formula>"G"</formula>
    </cfRule>
    <cfRule type="cellIs" dxfId="299" priority="324" stopIfTrue="1" operator="equal">
      <formula>"Y"</formula>
    </cfRule>
    <cfRule type="cellIs" dxfId="298" priority="325" stopIfTrue="1" operator="equal">
      <formula>"C"</formula>
    </cfRule>
    <cfRule type="cellIs" dxfId="297" priority="326" stopIfTrue="1" operator="equal">
      <formula>"R"</formula>
    </cfRule>
  </conditionalFormatting>
  <conditionalFormatting sqref="N354 T354">
    <cfRule type="cellIs" dxfId="296" priority="327" stopIfTrue="1" operator="equal">
      <formula>"G"</formula>
    </cfRule>
    <cfRule type="cellIs" dxfId="295" priority="328" stopIfTrue="1" operator="equal">
      <formula>"Y"</formula>
    </cfRule>
    <cfRule type="cellIs" dxfId="294" priority="329" stopIfTrue="1" operator="equal">
      <formula>"R"</formula>
    </cfRule>
  </conditionalFormatting>
  <conditionalFormatting sqref="N370 T370">
    <cfRule type="cellIs" dxfId="293" priority="313" stopIfTrue="1" operator="equal">
      <formula>"G"</formula>
    </cfRule>
    <cfRule type="cellIs" dxfId="292" priority="314" stopIfTrue="1" operator="equal">
      <formula>"Y"</formula>
    </cfRule>
    <cfRule type="cellIs" dxfId="291" priority="315" stopIfTrue="1" operator="equal">
      <formula>"R"</formula>
    </cfRule>
  </conditionalFormatting>
  <conditionalFormatting sqref="N370 T370">
    <cfRule type="cellIs" dxfId="290" priority="309" stopIfTrue="1" operator="equal">
      <formula>"G"</formula>
    </cfRule>
    <cfRule type="cellIs" dxfId="289" priority="310" stopIfTrue="1" operator="equal">
      <formula>"Y"</formula>
    </cfRule>
    <cfRule type="cellIs" dxfId="288" priority="311" stopIfTrue="1" operator="equal">
      <formula>"C"</formula>
    </cfRule>
    <cfRule type="cellIs" dxfId="287" priority="312" stopIfTrue="1" operator="equal">
      <formula>"R"</formula>
    </cfRule>
  </conditionalFormatting>
  <conditionalFormatting sqref="N209 T209">
    <cfRule type="cellIs" dxfId="286" priority="306" stopIfTrue="1" operator="equal">
      <formula>"G"</formula>
    </cfRule>
    <cfRule type="cellIs" dxfId="285" priority="307" stopIfTrue="1" operator="equal">
      <formula>"Y"</formula>
    </cfRule>
    <cfRule type="cellIs" dxfId="284" priority="308" stopIfTrue="1" operator="equal">
      <formula>"R"</formula>
    </cfRule>
  </conditionalFormatting>
  <conditionalFormatting sqref="N209 T209">
    <cfRule type="cellIs" dxfId="283" priority="302" stopIfTrue="1" operator="equal">
      <formula>"G"</formula>
    </cfRule>
    <cfRule type="cellIs" dxfId="282" priority="303" stopIfTrue="1" operator="equal">
      <formula>"Y"</formula>
    </cfRule>
    <cfRule type="cellIs" dxfId="281" priority="304" stopIfTrue="1" operator="equal">
      <formula>"C"</formula>
    </cfRule>
    <cfRule type="cellIs" dxfId="280" priority="305" stopIfTrue="1" operator="equal">
      <formula>"R"</formula>
    </cfRule>
  </conditionalFormatting>
  <conditionalFormatting sqref="T161:T170 N161:N170">
    <cfRule type="cellIs" dxfId="279" priority="299" stopIfTrue="1" operator="equal">
      <formula>"G"</formula>
    </cfRule>
    <cfRule type="cellIs" dxfId="278" priority="300" stopIfTrue="1" operator="equal">
      <formula>"Y"</formula>
    </cfRule>
    <cfRule type="cellIs" dxfId="277" priority="301" stopIfTrue="1" operator="equal">
      <formula>"R"</formula>
    </cfRule>
  </conditionalFormatting>
  <conditionalFormatting sqref="T161:T170 N161:N170">
    <cfRule type="cellIs" dxfId="276" priority="295" stopIfTrue="1" operator="equal">
      <formula>"G"</formula>
    </cfRule>
    <cfRule type="cellIs" dxfId="275" priority="296" stopIfTrue="1" operator="equal">
      <formula>"Y"</formula>
    </cfRule>
    <cfRule type="cellIs" dxfId="274" priority="297" stopIfTrue="1" operator="equal">
      <formula>"C"</formula>
    </cfRule>
    <cfRule type="cellIs" dxfId="273" priority="298" stopIfTrue="1" operator="equal">
      <formula>"R"</formula>
    </cfRule>
  </conditionalFormatting>
  <conditionalFormatting sqref="N160 T160">
    <cfRule type="cellIs" dxfId="272" priority="288" stopIfTrue="1" operator="equal">
      <formula>"G"</formula>
    </cfRule>
    <cfRule type="cellIs" dxfId="271" priority="289" stopIfTrue="1" operator="equal">
      <formula>"Y"</formula>
    </cfRule>
    <cfRule type="cellIs" dxfId="270" priority="290" stopIfTrue="1" operator="equal">
      <formula>"C"</formula>
    </cfRule>
    <cfRule type="cellIs" dxfId="269" priority="291" stopIfTrue="1" operator="equal">
      <formula>"R"</formula>
    </cfRule>
  </conditionalFormatting>
  <conditionalFormatting sqref="N160 T160">
    <cfRule type="cellIs" dxfId="268" priority="292" stopIfTrue="1" operator="equal">
      <formula>"G"</formula>
    </cfRule>
    <cfRule type="cellIs" dxfId="267" priority="293" stopIfTrue="1" operator="equal">
      <formula>"Y"</formula>
    </cfRule>
    <cfRule type="cellIs" dxfId="266" priority="294" stopIfTrue="1" operator="equal">
      <formula>"R"</formula>
    </cfRule>
  </conditionalFormatting>
  <conditionalFormatting sqref="N224 T224">
    <cfRule type="cellIs" dxfId="265" priority="257" stopIfTrue="1" operator="equal">
      <formula>"G"</formula>
    </cfRule>
    <cfRule type="cellIs" dxfId="264" priority="258" stopIfTrue="1" operator="equal">
      <formula>"Y"</formula>
    </cfRule>
    <cfRule type="cellIs" dxfId="263" priority="259" stopIfTrue="1" operator="equal">
      <formula>"R"</formula>
    </cfRule>
  </conditionalFormatting>
  <conditionalFormatting sqref="N224 T224">
    <cfRule type="cellIs" dxfId="262" priority="253" stopIfTrue="1" operator="equal">
      <formula>"G"</formula>
    </cfRule>
    <cfRule type="cellIs" dxfId="261" priority="254" stopIfTrue="1" operator="equal">
      <formula>"Y"</formula>
    </cfRule>
    <cfRule type="cellIs" dxfId="260" priority="255" stopIfTrue="1" operator="equal">
      <formula>"C"</formula>
    </cfRule>
    <cfRule type="cellIs" dxfId="259" priority="256" stopIfTrue="1" operator="equal">
      <formula>"R"</formula>
    </cfRule>
  </conditionalFormatting>
  <conditionalFormatting sqref="N250:N271 T250:T271">
    <cfRule type="cellIs" dxfId="258" priority="281" stopIfTrue="1" operator="equal">
      <formula>"G"</formula>
    </cfRule>
    <cfRule type="cellIs" dxfId="257" priority="282" stopIfTrue="1" operator="equal">
      <formula>"Y"</formula>
    </cfRule>
    <cfRule type="cellIs" dxfId="256" priority="283" stopIfTrue="1" operator="equal">
      <formula>"C"</formula>
    </cfRule>
    <cfRule type="cellIs" dxfId="255" priority="284" stopIfTrue="1" operator="equal">
      <formula>"R"</formula>
    </cfRule>
  </conditionalFormatting>
  <conditionalFormatting sqref="N250:N271 T250:T271">
    <cfRule type="cellIs" dxfId="254" priority="285" stopIfTrue="1" operator="equal">
      <formula>"G"</formula>
    </cfRule>
    <cfRule type="cellIs" dxfId="253" priority="286" stopIfTrue="1" operator="equal">
      <formula>"Y"</formula>
    </cfRule>
    <cfRule type="cellIs" dxfId="252" priority="287" stopIfTrue="1" operator="equal">
      <formula>"R"</formula>
    </cfRule>
  </conditionalFormatting>
  <conditionalFormatting sqref="N249 T249">
    <cfRule type="cellIs" dxfId="251" priority="278" stopIfTrue="1" operator="equal">
      <formula>"G"</formula>
    </cfRule>
    <cfRule type="cellIs" dxfId="250" priority="279" stopIfTrue="1" operator="equal">
      <formula>"Y"</formula>
    </cfRule>
    <cfRule type="cellIs" dxfId="249" priority="280" stopIfTrue="1" operator="equal">
      <formula>"R"</formula>
    </cfRule>
  </conditionalFormatting>
  <conditionalFormatting sqref="N249 T249">
    <cfRule type="cellIs" dxfId="248" priority="274" stopIfTrue="1" operator="equal">
      <formula>"G"</formula>
    </cfRule>
    <cfRule type="cellIs" dxfId="247" priority="275" stopIfTrue="1" operator="equal">
      <formula>"Y"</formula>
    </cfRule>
    <cfRule type="cellIs" dxfId="246" priority="276" stopIfTrue="1" operator="equal">
      <formula>"C"</formula>
    </cfRule>
    <cfRule type="cellIs" dxfId="245" priority="277" stopIfTrue="1" operator="equal">
      <formula>"R"</formula>
    </cfRule>
  </conditionalFormatting>
  <conditionalFormatting sqref="N226 T226">
    <cfRule type="cellIs" dxfId="244" priority="271" stopIfTrue="1" operator="equal">
      <formula>"G"</formula>
    </cfRule>
    <cfRule type="cellIs" dxfId="243" priority="272" stopIfTrue="1" operator="equal">
      <formula>"Y"</formula>
    </cfRule>
    <cfRule type="cellIs" dxfId="242" priority="273" stopIfTrue="1" operator="equal">
      <formula>"R"</formula>
    </cfRule>
  </conditionalFormatting>
  <conditionalFormatting sqref="N226 T226">
    <cfRule type="cellIs" dxfId="241" priority="267" stopIfTrue="1" operator="equal">
      <formula>"G"</formula>
    </cfRule>
    <cfRule type="cellIs" dxfId="240" priority="268" stopIfTrue="1" operator="equal">
      <formula>"Y"</formula>
    </cfRule>
    <cfRule type="cellIs" dxfId="239" priority="269" stopIfTrue="1" operator="equal">
      <formula>"C"</formula>
    </cfRule>
    <cfRule type="cellIs" dxfId="238" priority="270" stopIfTrue="1" operator="equal">
      <formula>"R"</formula>
    </cfRule>
  </conditionalFormatting>
  <conditionalFormatting sqref="N225 T225">
    <cfRule type="cellIs" dxfId="237" priority="264" stopIfTrue="1" operator="equal">
      <formula>"G"</formula>
    </cfRule>
    <cfRule type="cellIs" dxfId="236" priority="265" stopIfTrue="1" operator="equal">
      <formula>"Y"</formula>
    </cfRule>
    <cfRule type="cellIs" dxfId="235" priority="266" stopIfTrue="1" operator="equal">
      <formula>"R"</formula>
    </cfRule>
  </conditionalFormatting>
  <conditionalFormatting sqref="N225 T225">
    <cfRule type="cellIs" dxfId="234" priority="260" stopIfTrue="1" operator="equal">
      <formula>"G"</formula>
    </cfRule>
    <cfRule type="cellIs" dxfId="233" priority="261" stopIfTrue="1" operator="equal">
      <formula>"Y"</formula>
    </cfRule>
    <cfRule type="cellIs" dxfId="232" priority="262" stopIfTrue="1" operator="equal">
      <formula>"C"</formula>
    </cfRule>
    <cfRule type="cellIs" dxfId="231" priority="263" stopIfTrue="1" operator="equal">
      <formula>"R"</formula>
    </cfRule>
  </conditionalFormatting>
  <conditionalFormatting sqref="N183 T183">
    <cfRule type="cellIs" dxfId="230" priority="229" stopIfTrue="1" operator="equal">
      <formula>"G"</formula>
    </cfRule>
    <cfRule type="cellIs" dxfId="229" priority="230" stopIfTrue="1" operator="equal">
      <formula>"Y"</formula>
    </cfRule>
    <cfRule type="cellIs" dxfId="228" priority="231" stopIfTrue="1" operator="equal">
      <formula>"R"</formula>
    </cfRule>
  </conditionalFormatting>
  <conditionalFormatting sqref="N183 T183">
    <cfRule type="cellIs" dxfId="227" priority="225" stopIfTrue="1" operator="equal">
      <formula>"G"</formula>
    </cfRule>
    <cfRule type="cellIs" dxfId="226" priority="226" stopIfTrue="1" operator="equal">
      <formula>"Y"</formula>
    </cfRule>
    <cfRule type="cellIs" dxfId="225" priority="227" stopIfTrue="1" operator="equal">
      <formula>"C"</formula>
    </cfRule>
    <cfRule type="cellIs" dxfId="224" priority="228" stopIfTrue="1" operator="equal">
      <formula>"R"</formula>
    </cfRule>
  </conditionalFormatting>
  <conditionalFormatting sqref="N181 T181">
    <cfRule type="cellIs" dxfId="223" priority="250" stopIfTrue="1" operator="equal">
      <formula>"G"</formula>
    </cfRule>
    <cfRule type="cellIs" dxfId="222" priority="251" stopIfTrue="1" operator="equal">
      <formula>"Y"</formula>
    </cfRule>
    <cfRule type="cellIs" dxfId="221" priority="252" stopIfTrue="1" operator="equal">
      <formula>"R"</formula>
    </cfRule>
  </conditionalFormatting>
  <conditionalFormatting sqref="N181 T181">
    <cfRule type="cellIs" dxfId="220" priority="246" stopIfTrue="1" operator="equal">
      <formula>"G"</formula>
    </cfRule>
    <cfRule type="cellIs" dxfId="219" priority="247" stopIfTrue="1" operator="equal">
      <formula>"Y"</formula>
    </cfRule>
    <cfRule type="cellIs" dxfId="218" priority="248" stopIfTrue="1" operator="equal">
      <formula>"C"</formula>
    </cfRule>
    <cfRule type="cellIs" dxfId="217" priority="249" stopIfTrue="1" operator="equal">
      <formula>"R"</formula>
    </cfRule>
  </conditionalFormatting>
  <conditionalFormatting sqref="N185 T185">
    <cfRule type="cellIs" dxfId="216" priority="239" stopIfTrue="1" operator="equal">
      <formula>"G"</formula>
    </cfRule>
    <cfRule type="cellIs" dxfId="215" priority="240" stopIfTrue="1" operator="equal">
      <formula>"Y"</formula>
    </cfRule>
    <cfRule type="cellIs" dxfId="214" priority="241" stopIfTrue="1" operator="equal">
      <formula>"C"</formula>
    </cfRule>
    <cfRule type="cellIs" dxfId="213" priority="242" stopIfTrue="1" operator="equal">
      <formula>"R"</formula>
    </cfRule>
  </conditionalFormatting>
  <conditionalFormatting sqref="N185 T185">
    <cfRule type="cellIs" dxfId="212" priority="243" stopIfTrue="1" operator="equal">
      <formula>"G"</formula>
    </cfRule>
    <cfRule type="cellIs" dxfId="211" priority="244" stopIfTrue="1" operator="equal">
      <formula>"Y"</formula>
    </cfRule>
    <cfRule type="cellIs" dxfId="210" priority="245" stopIfTrue="1" operator="equal">
      <formula>"R"</formula>
    </cfRule>
  </conditionalFormatting>
  <conditionalFormatting sqref="N184 T184">
    <cfRule type="cellIs" dxfId="209" priority="232" stopIfTrue="1" operator="equal">
      <formula>"G"</formula>
    </cfRule>
    <cfRule type="cellIs" dxfId="208" priority="233" stopIfTrue="1" operator="equal">
      <formula>"Y"</formula>
    </cfRule>
    <cfRule type="cellIs" dxfId="207" priority="234" stopIfTrue="1" operator="equal">
      <formula>"C"</formula>
    </cfRule>
    <cfRule type="cellIs" dxfId="206" priority="235" stopIfTrue="1" operator="equal">
      <formula>"R"</formula>
    </cfRule>
  </conditionalFormatting>
  <conditionalFormatting sqref="N184 T184">
    <cfRule type="cellIs" dxfId="205" priority="236" stopIfTrue="1" operator="equal">
      <formula>"G"</formula>
    </cfRule>
    <cfRule type="cellIs" dxfId="204" priority="237" stopIfTrue="1" operator="equal">
      <formula>"Y"</formula>
    </cfRule>
    <cfRule type="cellIs" dxfId="203" priority="238" stopIfTrue="1" operator="equal">
      <formula>"R"</formula>
    </cfRule>
  </conditionalFormatting>
  <conditionalFormatting sqref="N182 T182">
    <cfRule type="cellIs" dxfId="202" priority="218" stopIfTrue="1" operator="equal">
      <formula>"G"</formula>
    </cfRule>
    <cfRule type="cellIs" dxfId="201" priority="219" stopIfTrue="1" operator="equal">
      <formula>"Y"</formula>
    </cfRule>
    <cfRule type="cellIs" dxfId="200" priority="220" stopIfTrue="1" operator="equal">
      <formula>"C"</formula>
    </cfRule>
    <cfRule type="cellIs" dxfId="199" priority="221" stopIfTrue="1" operator="equal">
      <formula>"R"</formula>
    </cfRule>
  </conditionalFormatting>
  <conditionalFormatting sqref="N182 T182">
    <cfRule type="cellIs" dxfId="198" priority="222" stopIfTrue="1" operator="equal">
      <formula>"G"</formula>
    </cfRule>
    <cfRule type="cellIs" dxfId="197" priority="223" stopIfTrue="1" operator="equal">
      <formula>"Y"</formula>
    </cfRule>
    <cfRule type="cellIs" dxfId="196" priority="224" stopIfTrue="1" operator="equal">
      <formula>"R"</formula>
    </cfRule>
  </conditionalFormatting>
  <conditionalFormatting sqref="N195 T195">
    <cfRule type="cellIs" dxfId="195" priority="197" stopIfTrue="1" operator="equal">
      <formula>"G"</formula>
    </cfRule>
    <cfRule type="cellIs" dxfId="194" priority="198" stopIfTrue="1" operator="equal">
      <formula>"Y"</formula>
    </cfRule>
    <cfRule type="cellIs" dxfId="193" priority="199" stopIfTrue="1" operator="equal">
      <formula>"C"</formula>
    </cfRule>
    <cfRule type="cellIs" dxfId="192" priority="200" stopIfTrue="1" operator="equal">
      <formula>"R"</formula>
    </cfRule>
  </conditionalFormatting>
  <conditionalFormatting sqref="N195 T195">
    <cfRule type="cellIs" dxfId="191" priority="201" stopIfTrue="1" operator="equal">
      <formula>"G"</formula>
    </cfRule>
    <cfRule type="cellIs" dxfId="190" priority="202" stopIfTrue="1" operator="equal">
      <formula>"Y"</formula>
    </cfRule>
    <cfRule type="cellIs" dxfId="189" priority="203" stopIfTrue="1" operator="equal">
      <formula>"R"</formula>
    </cfRule>
  </conditionalFormatting>
  <conditionalFormatting sqref="N191 T191">
    <cfRule type="cellIs" dxfId="188" priority="215" stopIfTrue="1" operator="equal">
      <formula>"G"</formula>
    </cfRule>
    <cfRule type="cellIs" dxfId="187" priority="216" stopIfTrue="1" operator="equal">
      <formula>"Y"</formula>
    </cfRule>
    <cfRule type="cellIs" dxfId="186" priority="217" stopIfTrue="1" operator="equal">
      <formula>"R"</formula>
    </cfRule>
  </conditionalFormatting>
  <conditionalFormatting sqref="N191 T191">
    <cfRule type="cellIs" dxfId="185" priority="211" stopIfTrue="1" operator="equal">
      <formula>"G"</formula>
    </cfRule>
    <cfRule type="cellIs" dxfId="184" priority="212" stopIfTrue="1" operator="equal">
      <formula>"Y"</formula>
    </cfRule>
    <cfRule type="cellIs" dxfId="183" priority="213" stopIfTrue="1" operator="equal">
      <formula>"C"</formula>
    </cfRule>
    <cfRule type="cellIs" dxfId="182" priority="214" stopIfTrue="1" operator="equal">
      <formula>"R"</formula>
    </cfRule>
  </conditionalFormatting>
  <conditionalFormatting sqref="N186 T186">
    <cfRule type="cellIs" dxfId="181" priority="176" stopIfTrue="1" operator="equal">
      <formula>"G"</formula>
    </cfRule>
    <cfRule type="cellIs" dxfId="180" priority="177" stopIfTrue="1" operator="equal">
      <formula>"Y"</formula>
    </cfRule>
    <cfRule type="cellIs" dxfId="179" priority="178" stopIfTrue="1" operator="equal">
      <formula>"C"</formula>
    </cfRule>
    <cfRule type="cellIs" dxfId="178" priority="179" stopIfTrue="1" operator="equal">
      <formula>"R"</formula>
    </cfRule>
  </conditionalFormatting>
  <conditionalFormatting sqref="N186 T186">
    <cfRule type="cellIs" dxfId="177" priority="180" stopIfTrue="1" operator="equal">
      <formula>"G"</formula>
    </cfRule>
    <cfRule type="cellIs" dxfId="176" priority="181" stopIfTrue="1" operator="equal">
      <formula>"Y"</formula>
    </cfRule>
    <cfRule type="cellIs" dxfId="175" priority="182" stopIfTrue="1" operator="equal">
      <formula>"R"</formula>
    </cfRule>
  </conditionalFormatting>
  <conditionalFormatting sqref="N192 T192">
    <cfRule type="cellIs" dxfId="174" priority="183" stopIfTrue="1" operator="equal">
      <formula>"G"</formula>
    </cfRule>
    <cfRule type="cellIs" dxfId="173" priority="184" stopIfTrue="1" operator="equal">
      <formula>"Y"</formula>
    </cfRule>
    <cfRule type="cellIs" dxfId="172" priority="185" stopIfTrue="1" operator="equal">
      <formula>"C"</formula>
    </cfRule>
    <cfRule type="cellIs" dxfId="171" priority="186" stopIfTrue="1" operator="equal">
      <formula>"R"</formula>
    </cfRule>
  </conditionalFormatting>
  <conditionalFormatting sqref="N192 T192">
    <cfRule type="cellIs" dxfId="170" priority="187" stopIfTrue="1" operator="equal">
      <formula>"G"</formula>
    </cfRule>
    <cfRule type="cellIs" dxfId="169" priority="188" stopIfTrue="1" operator="equal">
      <formula>"Y"</formula>
    </cfRule>
    <cfRule type="cellIs" dxfId="168" priority="189" stopIfTrue="1" operator="equal">
      <formula>"R"</formula>
    </cfRule>
  </conditionalFormatting>
  <conditionalFormatting sqref="N193 T193">
    <cfRule type="cellIs" dxfId="167" priority="190" stopIfTrue="1" operator="equal">
      <formula>"G"</formula>
    </cfRule>
    <cfRule type="cellIs" dxfId="166" priority="191" stopIfTrue="1" operator="equal">
      <formula>"Y"</formula>
    </cfRule>
    <cfRule type="cellIs" dxfId="165" priority="192" stopIfTrue="1" operator="equal">
      <formula>"C"</formula>
    </cfRule>
    <cfRule type="cellIs" dxfId="164" priority="193" stopIfTrue="1" operator="equal">
      <formula>"R"</formula>
    </cfRule>
  </conditionalFormatting>
  <conditionalFormatting sqref="N193 T193">
    <cfRule type="cellIs" dxfId="163" priority="194" stopIfTrue="1" operator="equal">
      <formula>"G"</formula>
    </cfRule>
    <cfRule type="cellIs" dxfId="162" priority="195" stopIfTrue="1" operator="equal">
      <formula>"Y"</formula>
    </cfRule>
    <cfRule type="cellIs" dxfId="161" priority="196" stopIfTrue="1" operator="equal">
      <formula>"R"</formula>
    </cfRule>
  </conditionalFormatting>
  <conditionalFormatting sqref="N190 T190">
    <cfRule type="cellIs" dxfId="160" priority="169" stopIfTrue="1" operator="equal">
      <formula>"G"</formula>
    </cfRule>
    <cfRule type="cellIs" dxfId="159" priority="170" stopIfTrue="1" operator="equal">
      <formula>"Y"</formula>
    </cfRule>
    <cfRule type="cellIs" dxfId="158" priority="171" stopIfTrue="1" operator="equal">
      <formula>"C"</formula>
    </cfRule>
    <cfRule type="cellIs" dxfId="157" priority="172" stopIfTrue="1" operator="equal">
      <formula>"R"</formula>
    </cfRule>
  </conditionalFormatting>
  <conditionalFormatting sqref="N190 T190">
    <cfRule type="cellIs" dxfId="156" priority="173" stopIfTrue="1" operator="equal">
      <formula>"G"</formula>
    </cfRule>
    <cfRule type="cellIs" dxfId="155" priority="174" stopIfTrue="1" operator="equal">
      <formula>"Y"</formula>
    </cfRule>
    <cfRule type="cellIs" dxfId="154" priority="175" stopIfTrue="1" operator="equal">
      <formula>"R"</formula>
    </cfRule>
  </conditionalFormatting>
  <conditionalFormatting sqref="N189 T189">
    <cfRule type="cellIs" dxfId="153" priority="166" stopIfTrue="1" operator="equal">
      <formula>"G"</formula>
    </cfRule>
    <cfRule type="cellIs" dxfId="152" priority="167" stopIfTrue="1" operator="equal">
      <formula>"Y"</formula>
    </cfRule>
    <cfRule type="cellIs" dxfId="151" priority="168" stopIfTrue="1" operator="equal">
      <formula>"R"</formula>
    </cfRule>
  </conditionalFormatting>
  <conditionalFormatting sqref="N189 T189">
    <cfRule type="cellIs" dxfId="150" priority="162" stopIfTrue="1" operator="equal">
      <formula>"G"</formula>
    </cfRule>
    <cfRule type="cellIs" dxfId="149" priority="163" stopIfTrue="1" operator="equal">
      <formula>"Y"</formula>
    </cfRule>
    <cfRule type="cellIs" dxfId="148" priority="164" stopIfTrue="1" operator="equal">
      <formula>"C"</formula>
    </cfRule>
    <cfRule type="cellIs" dxfId="147" priority="165" stopIfTrue="1" operator="equal">
      <formula>"R"</formula>
    </cfRule>
  </conditionalFormatting>
  <conditionalFormatting sqref="N194 T194">
    <cfRule type="cellIs" dxfId="146" priority="148" stopIfTrue="1" operator="equal">
      <formula>"G"</formula>
    </cfRule>
    <cfRule type="cellIs" dxfId="145" priority="149" stopIfTrue="1" operator="equal">
      <formula>"Y"</formula>
    </cfRule>
    <cfRule type="cellIs" dxfId="144" priority="150" stopIfTrue="1" operator="equal">
      <formula>"C"</formula>
    </cfRule>
    <cfRule type="cellIs" dxfId="143" priority="151" stopIfTrue="1" operator="equal">
      <formula>"R"</formula>
    </cfRule>
  </conditionalFormatting>
  <conditionalFormatting sqref="N194 T194">
    <cfRule type="cellIs" dxfId="142" priority="152" stopIfTrue="1" operator="equal">
      <formula>"G"</formula>
    </cfRule>
    <cfRule type="cellIs" dxfId="141" priority="153" stopIfTrue="1" operator="equal">
      <formula>"Y"</formula>
    </cfRule>
    <cfRule type="cellIs" dxfId="140" priority="154" stopIfTrue="1" operator="equal">
      <formula>"R"</formula>
    </cfRule>
  </conditionalFormatting>
  <conditionalFormatting sqref="N188 T188">
    <cfRule type="cellIs" dxfId="139" priority="155" stopIfTrue="1" operator="equal">
      <formula>"G"</formula>
    </cfRule>
    <cfRule type="cellIs" dxfId="138" priority="156" stopIfTrue="1" operator="equal">
      <formula>"Y"</formula>
    </cfRule>
    <cfRule type="cellIs" dxfId="137" priority="157" stopIfTrue="1" operator="equal">
      <formula>"C"</formula>
    </cfRule>
    <cfRule type="cellIs" dxfId="136" priority="158" stopIfTrue="1" operator="equal">
      <formula>"R"</formula>
    </cfRule>
  </conditionalFormatting>
  <conditionalFormatting sqref="N188 T188">
    <cfRule type="cellIs" dxfId="135" priority="159" stopIfTrue="1" operator="equal">
      <formula>"G"</formula>
    </cfRule>
    <cfRule type="cellIs" dxfId="134" priority="160" stopIfTrue="1" operator="equal">
      <formula>"Y"</formula>
    </cfRule>
    <cfRule type="cellIs" dxfId="133" priority="161" stopIfTrue="1" operator="equal">
      <formula>"R"</formula>
    </cfRule>
  </conditionalFormatting>
  <conditionalFormatting sqref="N179 T179">
    <cfRule type="cellIs" dxfId="132" priority="127" stopIfTrue="1" operator="equal">
      <formula>"G"</formula>
    </cfRule>
    <cfRule type="cellIs" dxfId="131" priority="128" stopIfTrue="1" operator="equal">
      <formula>"Y"</formula>
    </cfRule>
    <cfRule type="cellIs" dxfId="130" priority="129" stopIfTrue="1" operator="equal">
      <formula>"C"</formula>
    </cfRule>
    <cfRule type="cellIs" dxfId="129" priority="130" stopIfTrue="1" operator="equal">
      <formula>"R"</formula>
    </cfRule>
  </conditionalFormatting>
  <conditionalFormatting sqref="N179 T179">
    <cfRule type="cellIs" dxfId="128" priority="131" stopIfTrue="1" operator="equal">
      <formula>"G"</formula>
    </cfRule>
    <cfRule type="cellIs" dxfId="127" priority="132" stopIfTrue="1" operator="equal">
      <formula>"Y"</formula>
    </cfRule>
    <cfRule type="cellIs" dxfId="126" priority="133" stopIfTrue="1" operator="equal">
      <formula>"R"</formula>
    </cfRule>
  </conditionalFormatting>
  <conditionalFormatting sqref="N178 T178">
    <cfRule type="cellIs" dxfId="125" priority="145" stopIfTrue="1" operator="equal">
      <formula>"G"</formula>
    </cfRule>
    <cfRule type="cellIs" dxfId="124" priority="146" stopIfTrue="1" operator="equal">
      <formula>"Y"</formula>
    </cfRule>
    <cfRule type="cellIs" dxfId="123" priority="147" stopIfTrue="1" operator="equal">
      <formula>"R"</formula>
    </cfRule>
  </conditionalFormatting>
  <conditionalFormatting sqref="N178 T178">
    <cfRule type="cellIs" dxfId="122" priority="141" stopIfTrue="1" operator="equal">
      <formula>"G"</formula>
    </cfRule>
    <cfRule type="cellIs" dxfId="121" priority="142" stopIfTrue="1" operator="equal">
      <formula>"Y"</formula>
    </cfRule>
    <cfRule type="cellIs" dxfId="120" priority="143" stopIfTrue="1" operator="equal">
      <formula>"C"</formula>
    </cfRule>
    <cfRule type="cellIs" dxfId="119" priority="144" stopIfTrue="1" operator="equal">
      <formula>"R"</formula>
    </cfRule>
  </conditionalFormatting>
  <conditionalFormatting sqref="N273:N275 T273:T275">
    <cfRule type="cellIs" dxfId="111" priority="110" stopIfTrue="1" operator="equal">
      <formula>"G"</formula>
    </cfRule>
    <cfRule type="cellIs" dxfId="110" priority="111" stopIfTrue="1" operator="equal">
      <formula>"Y"</formula>
    </cfRule>
    <cfRule type="cellIs" dxfId="109" priority="112" stopIfTrue="1" operator="equal">
      <formula>"R"</formula>
    </cfRule>
  </conditionalFormatting>
  <conditionalFormatting sqref="N273:N275 T273:T275">
    <cfRule type="cellIs" dxfId="108" priority="106" stopIfTrue="1" operator="equal">
      <formula>"G"</formula>
    </cfRule>
    <cfRule type="cellIs" dxfId="107" priority="107" stopIfTrue="1" operator="equal">
      <formula>"Y"</formula>
    </cfRule>
    <cfRule type="cellIs" dxfId="106" priority="108" stopIfTrue="1" operator="equal">
      <formula>"C"</formula>
    </cfRule>
    <cfRule type="cellIs" dxfId="105" priority="109" stopIfTrue="1" operator="equal">
      <formula>"R"</formula>
    </cfRule>
  </conditionalFormatting>
  <conditionalFormatting sqref="N272 T272">
    <cfRule type="cellIs" dxfId="104" priority="103" stopIfTrue="1" operator="equal">
      <formula>"G"</formula>
    </cfRule>
    <cfRule type="cellIs" dxfId="103" priority="104" stopIfTrue="1" operator="equal">
      <formula>"Y"</formula>
    </cfRule>
    <cfRule type="cellIs" dxfId="102" priority="105" stopIfTrue="1" operator="equal">
      <formula>"R"</formula>
    </cfRule>
  </conditionalFormatting>
  <conditionalFormatting sqref="N272 T272">
    <cfRule type="cellIs" dxfId="101" priority="99" stopIfTrue="1" operator="equal">
      <formula>"G"</formula>
    </cfRule>
    <cfRule type="cellIs" dxfId="100" priority="100" stopIfTrue="1" operator="equal">
      <formula>"Y"</formula>
    </cfRule>
    <cfRule type="cellIs" dxfId="99" priority="101" stopIfTrue="1" operator="equal">
      <formula>"C"</formula>
    </cfRule>
    <cfRule type="cellIs" dxfId="98" priority="102" stopIfTrue="1" operator="equal">
      <formula>"R"</formula>
    </cfRule>
  </conditionalFormatting>
  <conditionalFormatting sqref="N180 T180">
    <cfRule type="cellIs" dxfId="97" priority="96" stopIfTrue="1" operator="equal">
      <formula>"G"</formula>
    </cfRule>
    <cfRule type="cellIs" dxfId="96" priority="97" stopIfTrue="1" operator="equal">
      <formula>"Y"</formula>
    </cfRule>
    <cfRule type="cellIs" dxfId="95" priority="98" stopIfTrue="1" operator="equal">
      <formula>"R"</formula>
    </cfRule>
  </conditionalFormatting>
  <conditionalFormatting sqref="N180 T180">
    <cfRule type="cellIs" dxfId="94" priority="92" stopIfTrue="1" operator="equal">
      <formula>"G"</formula>
    </cfRule>
    <cfRule type="cellIs" dxfId="93" priority="93" stopIfTrue="1" operator="equal">
      <formula>"Y"</formula>
    </cfRule>
    <cfRule type="cellIs" dxfId="92" priority="94" stopIfTrue="1" operator="equal">
      <formula>"C"</formula>
    </cfRule>
    <cfRule type="cellIs" dxfId="91" priority="95" stopIfTrue="1" operator="equal">
      <formula>"R"</formula>
    </cfRule>
  </conditionalFormatting>
  <conditionalFormatting sqref="N276 T276">
    <cfRule type="cellIs" dxfId="90" priority="89" stopIfTrue="1" operator="equal">
      <formula>"G"</formula>
    </cfRule>
    <cfRule type="cellIs" dxfId="89" priority="90" stopIfTrue="1" operator="equal">
      <formula>"Y"</formula>
    </cfRule>
    <cfRule type="cellIs" dxfId="88" priority="91" stopIfTrue="1" operator="equal">
      <formula>"R"</formula>
    </cfRule>
  </conditionalFormatting>
  <conditionalFormatting sqref="N276 T276">
    <cfRule type="cellIs" dxfId="87" priority="85" stopIfTrue="1" operator="equal">
      <formula>"G"</formula>
    </cfRule>
    <cfRule type="cellIs" dxfId="86" priority="86" stopIfTrue="1" operator="equal">
      <formula>"Y"</formula>
    </cfRule>
    <cfRule type="cellIs" dxfId="85" priority="87" stopIfTrue="1" operator="equal">
      <formula>"C"</formula>
    </cfRule>
    <cfRule type="cellIs" dxfId="84" priority="88" stopIfTrue="1" operator="equal">
      <formula>"R"</formula>
    </cfRule>
  </conditionalFormatting>
  <conditionalFormatting sqref="N282 T282">
    <cfRule type="cellIs" dxfId="83" priority="82" stopIfTrue="1" operator="equal">
      <formula>"G"</formula>
    </cfRule>
    <cfRule type="cellIs" dxfId="82" priority="83" stopIfTrue="1" operator="equal">
      <formula>"Y"</formula>
    </cfRule>
    <cfRule type="cellIs" dxfId="81" priority="84" stopIfTrue="1" operator="equal">
      <formula>"R"</formula>
    </cfRule>
  </conditionalFormatting>
  <conditionalFormatting sqref="N282 T282">
    <cfRule type="cellIs" dxfId="80" priority="78" stopIfTrue="1" operator="equal">
      <formula>"G"</formula>
    </cfRule>
    <cfRule type="cellIs" dxfId="79" priority="79" stopIfTrue="1" operator="equal">
      <formula>"Y"</formula>
    </cfRule>
    <cfRule type="cellIs" dxfId="78" priority="80" stopIfTrue="1" operator="equal">
      <formula>"C"</formula>
    </cfRule>
    <cfRule type="cellIs" dxfId="77" priority="81" stopIfTrue="1" operator="equal">
      <formula>"R"</formula>
    </cfRule>
  </conditionalFormatting>
  <conditionalFormatting sqref="N373 T373">
    <cfRule type="cellIs" dxfId="76" priority="75" stopIfTrue="1" operator="equal">
      <formula>"G"</formula>
    </cfRule>
    <cfRule type="cellIs" dxfId="75" priority="76" stopIfTrue="1" operator="equal">
      <formula>"Y"</formula>
    </cfRule>
    <cfRule type="cellIs" dxfId="74" priority="77" stopIfTrue="1" operator="equal">
      <formula>"R"</formula>
    </cfRule>
  </conditionalFormatting>
  <conditionalFormatting sqref="N373 T373">
    <cfRule type="cellIs" dxfId="73" priority="71" stopIfTrue="1" operator="equal">
      <formula>"G"</formula>
    </cfRule>
    <cfRule type="cellIs" dxfId="72" priority="72" stopIfTrue="1" operator="equal">
      <formula>"Y"</formula>
    </cfRule>
    <cfRule type="cellIs" dxfId="71" priority="73" stopIfTrue="1" operator="equal">
      <formula>"C"</formula>
    </cfRule>
    <cfRule type="cellIs" dxfId="70" priority="74" stopIfTrue="1" operator="equal">
      <formula>"R"</formula>
    </cfRule>
  </conditionalFormatting>
  <conditionalFormatting sqref="N210 T210">
    <cfRule type="cellIs" dxfId="69" priority="68" stopIfTrue="1" operator="equal">
      <formula>"G"</formula>
    </cfRule>
    <cfRule type="cellIs" dxfId="68" priority="69" stopIfTrue="1" operator="equal">
      <formula>"Y"</formula>
    </cfRule>
    <cfRule type="cellIs" dxfId="67" priority="70" stopIfTrue="1" operator="equal">
      <formula>"R"</formula>
    </cfRule>
  </conditionalFormatting>
  <conditionalFormatting sqref="N210 T210">
    <cfRule type="cellIs" dxfId="66" priority="64" stopIfTrue="1" operator="equal">
      <formula>"G"</formula>
    </cfRule>
    <cfRule type="cellIs" dxfId="65" priority="65" stopIfTrue="1" operator="equal">
      <formula>"Y"</formula>
    </cfRule>
    <cfRule type="cellIs" dxfId="64" priority="66" stopIfTrue="1" operator="equal">
      <formula>"C"</formula>
    </cfRule>
    <cfRule type="cellIs" dxfId="63" priority="67" stopIfTrue="1" operator="equal">
      <formula>"R"</formula>
    </cfRule>
  </conditionalFormatting>
  <conditionalFormatting sqref="N372 T372">
    <cfRule type="cellIs" dxfId="55" priority="54" stopIfTrue="1" operator="equal">
      <formula>"G"</formula>
    </cfRule>
    <cfRule type="cellIs" dxfId="54" priority="55" stopIfTrue="1" operator="equal">
      <formula>"Y"</formula>
    </cfRule>
    <cfRule type="cellIs" dxfId="53" priority="56" stopIfTrue="1" operator="equal">
      <formula>"R"</formula>
    </cfRule>
  </conditionalFormatting>
  <conditionalFormatting sqref="N372 T372">
    <cfRule type="cellIs" dxfId="52" priority="50" stopIfTrue="1" operator="equal">
      <formula>"G"</formula>
    </cfRule>
    <cfRule type="cellIs" dxfId="51" priority="51" stopIfTrue="1" operator="equal">
      <formula>"Y"</formula>
    </cfRule>
    <cfRule type="cellIs" dxfId="50" priority="52" stopIfTrue="1" operator="equal">
      <formula>"C"</formula>
    </cfRule>
    <cfRule type="cellIs" dxfId="49" priority="53" stopIfTrue="1" operator="equal">
      <formula>"R"</formula>
    </cfRule>
  </conditionalFormatting>
  <conditionalFormatting sqref="T382:T385 N382:N385">
    <cfRule type="cellIs" dxfId="48" priority="43" stopIfTrue="1" operator="equal">
      <formula>"G"</formula>
    </cfRule>
    <cfRule type="cellIs" dxfId="47" priority="44" stopIfTrue="1" operator="equal">
      <formula>"Y"</formula>
    </cfRule>
    <cfRule type="cellIs" dxfId="46" priority="45" stopIfTrue="1" operator="equal">
      <formula>"C"</formula>
    </cfRule>
    <cfRule type="cellIs" dxfId="45" priority="46" stopIfTrue="1" operator="equal">
      <formula>"R"</formula>
    </cfRule>
  </conditionalFormatting>
  <conditionalFormatting sqref="T382:T385 N382:N385">
    <cfRule type="cellIs" dxfId="44" priority="47" stopIfTrue="1" operator="equal">
      <formula>"G"</formula>
    </cfRule>
    <cfRule type="cellIs" dxfId="43" priority="48" stopIfTrue="1" operator="equal">
      <formula>"Y"</formula>
    </cfRule>
    <cfRule type="cellIs" dxfId="42" priority="49" stopIfTrue="1" operator="equal">
      <formula>"R"</formula>
    </cfRule>
  </conditionalFormatting>
  <conditionalFormatting sqref="T187 N187">
    <cfRule type="cellIs" dxfId="41" priority="36" stopIfTrue="1" operator="equal">
      <formula>"G"</formula>
    </cfRule>
    <cfRule type="cellIs" dxfId="40" priority="37" stopIfTrue="1" operator="equal">
      <formula>"Y"</formula>
    </cfRule>
    <cfRule type="cellIs" dxfId="39" priority="38" stopIfTrue="1" operator="equal">
      <formula>"C"</formula>
    </cfRule>
    <cfRule type="cellIs" dxfId="38" priority="39" stopIfTrue="1" operator="equal">
      <formula>"R"</formula>
    </cfRule>
  </conditionalFormatting>
  <conditionalFormatting sqref="T187 N187">
    <cfRule type="cellIs" dxfId="37" priority="40" stopIfTrue="1" operator="equal">
      <formula>"G"</formula>
    </cfRule>
    <cfRule type="cellIs" dxfId="36" priority="41" stopIfTrue="1" operator="equal">
      <formula>"Y"</formula>
    </cfRule>
    <cfRule type="cellIs" dxfId="35" priority="42" stopIfTrue="1" operator="equal">
      <formula>"R"</formula>
    </cfRule>
  </conditionalFormatting>
  <conditionalFormatting sqref="N91:N96 T91:T96">
    <cfRule type="cellIs" dxfId="34" priority="33" stopIfTrue="1" operator="equal">
      <formula>"G"</formula>
    </cfRule>
    <cfRule type="cellIs" dxfId="33" priority="34" stopIfTrue="1" operator="equal">
      <formula>"Y"</formula>
    </cfRule>
    <cfRule type="cellIs" dxfId="32" priority="35" stopIfTrue="1" operator="equal">
      <formula>"R"</formula>
    </cfRule>
  </conditionalFormatting>
  <conditionalFormatting sqref="N91:N96 T91:T96">
    <cfRule type="cellIs" dxfId="31" priority="29" stopIfTrue="1" operator="equal">
      <formula>"G"</formula>
    </cfRule>
    <cfRule type="cellIs" dxfId="30" priority="30" stopIfTrue="1" operator="equal">
      <formula>"Y"</formula>
    </cfRule>
    <cfRule type="cellIs" dxfId="29" priority="31" stopIfTrue="1" operator="equal">
      <formula>"C"</formula>
    </cfRule>
    <cfRule type="cellIs" dxfId="28" priority="32" stopIfTrue="1" operator="equal">
      <formula>"R"</formula>
    </cfRule>
  </conditionalFormatting>
  <conditionalFormatting sqref="N90 T90">
    <cfRule type="cellIs" dxfId="27" priority="22" stopIfTrue="1" operator="equal">
      <formula>"G"</formula>
    </cfRule>
    <cfRule type="cellIs" dxfId="26" priority="23" stopIfTrue="1" operator="equal">
      <formula>"Y"</formula>
    </cfRule>
    <cfRule type="cellIs" dxfId="25" priority="24" stopIfTrue="1" operator="equal">
      <formula>"C"</formula>
    </cfRule>
    <cfRule type="cellIs" dxfId="24" priority="25" stopIfTrue="1" operator="equal">
      <formula>"R"</formula>
    </cfRule>
  </conditionalFormatting>
  <conditionalFormatting sqref="N90 T90">
    <cfRule type="cellIs" dxfId="23" priority="26" stopIfTrue="1" operator="equal">
      <formula>"G"</formula>
    </cfRule>
    <cfRule type="cellIs" dxfId="22" priority="27" stopIfTrue="1" operator="equal">
      <formula>"Y"</formula>
    </cfRule>
    <cfRule type="cellIs" dxfId="21" priority="28" stopIfTrue="1" operator="equal">
      <formula>"R"</formula>
    </cfRule>
  </conditionalFormatting>
  <conditionalFormatting sqref="N97 T97">
    <cfRule type="cellIs" dxfId="20" priority="19" stopIfTrue="1" operator="equal">
      <formula>"G"</formula>
    </cfRule>
    <cfRule type="cellIs" dxfId="19" priority="20" stopIfTrue="1" operator="equal">
      <formula>"Y"</formula>
    </cfRule>
    <cfRule type="cellIs" dxfId="18" priority="21" stopIfTrue="1" operator="equal">
      <formula>"R"</formula>
    </cfRule>
  </conditionalFormatting>
  <conditionalFormatting sqref="N97 T97">
    <cfRule type="cellIs" dxfId="17" priority="15" stopIfTrue="1" operator="equal">
      <formula>"G"</formula>
    </cfRule>
    <cfRule type="cellIs" dxfId="16" priority="16" stopIfTrue="1" operator="equal">
      <formula>"Y"</formula>
    </cfRule>
    <cfRule type="cellIs" dxfId="15" priority="17" stopIfTrue="1" operator="equal">
      <formula>"C"</formula>
    </cfRule>
    <cfRule type="cellIs" dxfId="14" priority="18" stopIfTrue="1" operator="equal">
      <formula>"R"</formula>
    </cfRule>
  </conditionalFormatting>
  <conditionalFormatting sqref="N87 T87">
    <cfRule type="cellIs" dxfId="13" priority="12" stopIfTrue="1" operator="equal">
      <formula>"G"</formula>
    </cfRule>
    <cfRule type="cellIs" dxfId="12" priority="13" stopIfTrue="1" operator="equal">
      <formula>"Y"</formula>
    </cfRule>
    <cfRule type="cellIs" dxfId="11" priority="14" stopIfTrue="1" operator="equal">
      <formula>"R"</formula>
    </cfRule>
  </conditionalFormatting>
  <conditionalFormatting sqref="N87 T87">
    <cfRule type="cellIs" dxfId="10" priority="8" stopIfTrue="1" operator="equal">
      <formula>"G"</formula>
    </cfRule>
    <cfRule type="cellIs" dxfId="9" priority="9" stopIfTrue="1" operator="equal">
      <formula>"Y"</formula>
    </cfRule>
    <cfRule type="cellIs" dxfId="8" priority="10" stopIfTrue="1" operator="equal">
      <formula>"C"</formula>
    </cfRule>
    <cfRule type="cellIs" dxfId="7" priority="11" stopIfTrue="1" operator="equal">
      <formula>"R"</formula>
    </cfRule>
  </conditionalFormatting>
  <conditionalFormatting sqref="N117 T117">
    <cfRule type="cellIs" dxfId="6" priority="5" stopIfTrue="1" operator="equal">
      <formula>"G"</formula>
    </cfRule>
    <cfRule type="cellIs" dxfId="5" priority="6" stopIfTrue="1" operator="equal">
      <formula>"Y"</formula>
    </cfRule>
    <cfRule type="cellIs" dxfId="4" priority="7" stopIfTrue="1" operator="equal">
      <formula>"R"</formula>
    </cfRule>
  </conditionalFormatting>
  <conditionalFormatting sqref="N117 T117">
    <cfRule type="cellIs" dxfId="3" priority="1" stopIfTrue="1" operator="equal">
      <formula>"G"</formula>
    </cfRule>
    <cfRule type="cellIs" dxfId="2" priority="2" stopIfTrue="1" operator="equal">
      <formula>"Y"</formula>
    </cfRule>
    <cfRule type="cellIs" dxfId="1" priority="3" stopIfTrue="1" operator="equal">
      <formula>"C"</formula>
    </cfRule>
    <cfRule type="cellIs" dxfId="0" priority="4" stopIfTrue="1" operator="equal">
      <formula>"R"</formula>
    </cfRule>
  </conditionalFormatting>
  <dataValidations disablePrompts="1" count="1">
    <dataValidation type="list" allowBlank="1" showInputMessage="1" showErrorMessage="1" sqref="T123:T127 N123:N127 N118:N121 N88:N89 T88:T89 N43:N86 T43:T86 N98:N116 T98:T116 T118:T121">
      <formula1>"G,Y,R,C"</formula1>
    </dataValidation>
  </dataValidations>
  <printOptions gridLines="1"/>
  <pageMargins left="0.5" right="0.5" top="0.5" bottom="0.5" header="0.3" footer="0.3"/>
  <pageSetup scale="43" fitToHeight="0" orientation="landscape" r:id="rId1"/>
  <headerFooter alignWithMargins="0">
    <oddHeader>&amp;C&amp;F
&amp;A</oddHeader>
    <oddFooter>&amp;LPrinted at &amp;T on &amp;D&amp;CCONFIDENTIAL&amp;RPage &amp;P of &amp;N</oddFooter>
  </headerFooter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221"/>
  <sheetViews>
    <sheetView zoomScale="80" zoomScaleNormal="80" workbookViewId="0">
      <selection activeCell="L63" sqref="L63"/>
    </sheetView>
  </sheetViews>
  <sheetFormatPr defaultColWidth="11.42578125" defaultRowHeight="12.75" x14ac:dyDescent="0.2"/>
  <cols>
    <col min="3" max="3" width="19.85546875" style="151" customWidth="1"/>
    <col min="4" max="4" width="80.7109375" customWidth="1"/>
    <col min="6" max="6" width="11.42578125" customWidth="1"/>
  </cols>
  <sheetData>
    <row r="1" spans="3:6" ht="15" x14ac:dyDescent="0.2">
      <c r="C1" s="149" t="s">
        <v>28</v>
      </c>
      <c r="D1" s="139" t="s">
        <v>29</v>
      </c>
      <c r="E1" s="119" t="s">
        <v>315</v>
      </c>
      <c r="F1" s="139" t="s">
        <v>119</v>
      </c>
    </row>
    <row r="2" spans="3:6" ht="15" x14ac:dyDescent="0.2">
      <c r="C2" s="140"/>
      <c r="D2" s="140"/>
      <c r="E2" s="120" t="s">
        <v>316</v>
      </c>
      <c r="F2" s="140"/>
    </row>
    <row r="3" spans="3:6" ht="15" x14ac:dyDescent="0.2">
      <c r="C3" s="140"/>
      <c r="D3" s="140"/>
      <c r="E3" s="120" t="s">
        <v>317</v>
      </c>
      <c r="F3" s="140"/>
    </row>
    <row r="4" spans="3:6" ht="15" x14ac:dyDescent="0.2">
      <c r="C4" s="121" t="s">
        <v>62</v>
      </c>
      <c r="D4" s="122" t="s">
        <v>63</v>
      </c>
      <c r="E4" s="123" t="s">
        <v>64</v>
      </c>
      <c r="F4" s="123" t="s">
        <v>120</v>
      </c>
    </row>
    <row r="5" spans="3:6" ht="15" x14ac:dyDescent="0.2">
      <c r="C5" s="124" t="s">
        <v>62</v>
      </c>
      <c r="D5" s="125" t="s">
        <v>65</v>
      </c>
      <c r="E5" s="126"/>
      <c r="F5" s="126" t="s">
        <v>120</v>
      </c>
    </row>
    <row r="6" spans="3:6" ht="15" x14ac:dyDescent="0.2">
      <c r="C6" s="124" t="s">
        <v>62</v>
      </c>
      <c r="D6" s="125" t="s">
        <v>66</v>
      </c>
      <c r="E6" s="126"/>
      <c r="F6" s="126" t="s">
        <v>120</v>
      </c>
    </row>
    <row r="7" spans="3:6" ht="15" x14ac:dyDescent="0.2">
      <c r="C7" s="124" t="s">
        <v>62</v>
      </c>
      <c r="D7" s="125" t="s">
        <v>67</v>
      </c>
      <c r="E7" s="126"/>
      <c r="F7" s="126" t="s">
        <v>120</v>
      </c>
    </row>
    <row r="8" spans="3:6" ht="15" x14ac:dyDescent="0.2">
      <c r="C8" s="124" t="s">
        <v>62</v>
      </c>
      <c r="D8" s="125" t="s">
        <v>68</v>
      </c>
      <c r="E8" s="126"/>
      <c r="F8" s="126" t="s">
        <v>120</v>
      </c>
    </row>
    <row r="9" spans="3:6" ht="15" x14ac:dyDescent="0.2">
      <c r="C9" s="124" t="s">
        <v>62</v>
      </c>
      <c r="D9" s="125" t="s">
        <v>69</v>
      </c>
      <c r="E9" s="126"/>
      <c r="F9" s="126" t="s">
        <v>120</v>
      </c>
    </row>
    <row r="10" spans="3:6" ht="15" x14ac:dyDescent="0.2">
      <c r="C10" s="124" t="s">
        <v>62</v>
      </c>
      <c r="D10" s="125" t="s">
        <v>70</v>
      </c>
      <c r="E10" s="126"/>
      <c r="F10" s="126" t="s">
        <v>120</v>
      </c>
    </row>
    <row r="11" spans="3:6" ht="15" x14ac:dyDescent="0.2">
      <c r="C11" s="121" t="s">
        <v>62</v>
      </c>
      <c r="D11" s="122" t="s">
        <v>71</v>
      </c>
      <c r="E11" s="123"/>
      <c r="F11" s="123" t="s">
        <v>120</v>
      </c>
    </row>
    <row r="12" spans="3:6" ht="15" x14ac:dyDescent="0.2">
      <c r="C12" s="124" t="s">
        <v>62</v>
      </c>
      <c r="D12" s="125" t="s">
        <v>72</v>
      </c>
      <c r="E12" s="126"/>
      <c r="F12" s="126" t="s">
        <v>120</v>
      </c>
    </row>
    <row r="13" spans="3:6" ht="15" x14ac:dyDescent="0.2">
      <c r="C13" s="124" t="s">
        <v>62</v>
      </c>
      <c r="D13" s="125" t="s">
        <v>73</v>
      </c>
      <c r="E13" s="126"/>
      <c r="F13" s="126" t="s">
        <v>120</v>
      </c>
    </row>
    <row r="14" spans="3:6" ht="15" x14ac:dyDescent="0.2">
      <c r="C14" s="124" t="s">
        <v>62</v>
      </c>
      <c r="D14" s="125" t="s">
        <v>74</v>
      </c>
      <c r="E14" s="126"/>
      <c r="F14" s="126" t="s">
        <v>120</v>
      </c>
    </row>
    <row r="15" spans="3:6" ht="15" x14ac:dyDescent="0.2">
      <c r="C15" s="121" t="s">
        <v>62</v>
      </c>
      <c r="D15" s="122" t="s">
        <v>75</v>
      </c>
      <c r="E15" s="123"/>
      <c r="F15" s="123" t="s">
        <v>120</v>
      </c>
    </row>
    <row r="16" spans="3:6" ht="15" x14ac:dyDescent="0.2">
      <c r="C16" s="124" t="s">
        <v>62</v>
      </c>
      <c r="D16" s="125" t="s">
        <v>76</v>
      </c>
      <c r="E16" s="126"/>
      <c r="F16" s="126" t="s">
        <v>120</v>
      </c>
    </row>
    <row r="17" spans="3:6" ht="15" x14ac:dyDescent="0.2">
      <c r="C17" s="124" t="s">
        <v>62</v>
      </c>
      <c r="D17" s="125" t="s">
        <v>77</v>
      </c>
      <c r="E17" s="126"/>
      <c r="F17" s="126" t="s">
        <v>120</v>
      </c>
    </row>
    <row r="18" spans="3:6" ht="15" x14ac:dyDescent="0.2">
      <c r="C18" s="124" t="s">
        <v>62</v>
      </c>
      <c r="D18" s="125" t="s">
        <v>78</v>
      </c>
      <c r="E18" s="126"/>
      <c r="F18" s="126" t="s">
        <v>120</v>
      </c>
    </row>
    <row r="19" spans="3:6" ht="15" x14ac:dyDescent="0.2">
      <c r="C19" s="121" t="s">
        <v>62</v>
      </c>
      <c r="D19" s="122" t="s">
        <v>79</v>
      </c>
      <c r="E19" s="123"/>
      <c r="F19" s="123" t="s">
        <v>120</v>
      </c>
    </row>
    <row r="20" spans="3:6" ht="15" x14ac:dyDescent="0.2">
      <c r="C20" s="124" t="s">
        <v>62</v>
      </c>
      <c r="D20" s="125" t="s">
        <v>80</v>
      </c>
      <c r="E20" s="126"/>
      <c r="F20" s="126" t="s">
        <v>120</v>
      </c>
    </row>
    <row r="21" spans="3:6" ht="15" x14ac:dyDescent="0.2">
      <c r="C21" s="124" t="s">
        <v>62</v>
      </c>
      <c r="D21" s="125" t="s">
        <v>81</v>
      </c>
      <c r="E21" s="126"/>
      <c r="F21" s="126" t="s">
        <v>120</v>
      </c>
    </row>
    <row r="22" spans="3:6" ht="15" x14ac:dyDescent="0.2">
      <c r="C22" s="124" t="s">
        <v>62</v>
      </c>
      <c r="D22" s="125" t="s">
        <v>82</v>
      </c>
      <c r="E22" s="126"/>
      <c r="F22" s="126" t="s">
        <v>120</v>
      </c>
    </row>
    <row r="23" spans="3:6" ht="15" x14ac:dyDescent="0.2">
      <c r="C23" s="121" t="s">
        <v>62</v>
      </c>
      <c r="D23" s="122" t="s">
        <v>83</v>
      </c>
      <c r="E23" s="123"/>
      <c r="F23" s="123" t="s">
        <v>120</v>
      </c>
    </row>
    <row r="24" spans="3:6" ht="15" x14ac:dyDescent="0.2">
      <c r="C24" s="124" t="s">
        <v>62</v>
      </c>
      <c r="D24" s="125" t="s">
        <v>84</v>
      </c>
      <c r="E24" s="126"/>
      <c r="F24" s="126" t="s">
        <v>120</v>
      </c>
    </row>
    <row r="25" spans="3:6" ht="15" x14ac:dyDescent="0.2">
      <c r="C25" s="124" t="s">
        <v>62</v>
      </c>
      <c r="D25" s="125" t="s">
        <v>85</v>
      </c>
      <c r="E25" s="126"/>
      <c r="F25" s="126" t="s">
        <v>120</v>
      </c>
    </row>
    <row r="26" spans="3:6" ht="15" x14ac:dyDescent="0.2">
      <c r="C26" s="124" t="s">
        <v>62</v>
      </c>
      <c r="D26" s="125" t="s">
        <v>86</v>
      </c>
      <c r="E26" s="126"/>
      <c r="F26" s="126" t="s">
        <v>120</v>
      </c>
    </row>
    <row r="27" spans="3:6" ht="15" x14ac:dyDescent="0.2">
      <c r="C27" s="121" t="s">
        <v>87</v>
      </c>
      <c r="D27" s="122" t="s">
        <v>63</v>
      </c>
      <c r="E27" s="123"/>
      <c r="F27" s="123" t="s">
        <v>121</v>
      </c>
    </row>
    <row r="28" spans="3:6" ht="15" x14ac:dyDescent="0.2">
      <c r="C28" s="124" t="s">
        <v>87</v>
      </c>
      <c r="D28" s="125" t="s">
        <v>122</v>
      </c>
      <c r="E28" s="126"/>
      <c r="F28" s="126" t="s">
        <v>120</v>
      </c>
    </row>
    <row r="29" spans="3:6" ht="15" x14ac:dyDescent="0.2">
      <c r="C29" s="124" t="s">
        <v>87</v>
      </c>
      <c r="D29" s="125" t="s">
        <v>123</v>
      </c>
      <c r="E29" s="126"/>
      <c r="F29" s="126" t="s">
        <v>120</v>
      </c>
    </row>
    <row r="30" spans="3:6" ht="15" x14ac:dyDescent="0.2">
      <c r="C30" s="124" t="s">
        <v>87</v>
      </c>
      <c r="D30" s="125" t="s">
        <v>124</v>
      </c>
      <c r="E30" s="126"/>
      <c r="F30" s="126" t="s">
        <v>120</v>
      </c>
    </row>
    <row r="31" spans="3:6" ht="15" x14ac:dyDescent="0.2">
      <c r="C31" s="124" t="s">
        <v>87</v>
      </c>
      <c r="D31" s="125" t="s">
        <v>125</v>
      </c>
      <c r="E31" s="126"/>
      <c r="F31" s="126" t="s">
        <v>120</v>
      </c>
    </row>
    <row r="32" spans="3:6" ht="15" x14ac:dyDescent="0.2">
      <c r="C32" s="124" t="s">
        <v>87</v>
      </c>
      <c r="D32" s="125" t="s">
        <v>126</v>
      </c>
      <c r="E32" s="126"/>
      <c r="F32" s="126" t="s">
        <v>311</v>
      </c>
    </row>
    <row r="33" spans="3:6" ht="15" x14ac:dyDescent="0.2">
      <c r="C33" s="124" t="s">
        <v>87</v>
      </c>
      <c r="D33" s="125" t="s">
        <v>127</v>
      </c>
      <c r="E33" s="126"/>
      <c r="F33" s="126" t="s">
        <v>312</v>
      </c>
    </row>
    <row r="34" spans="3:6" ht="15" x14ac:dyDescent="0.2">
      <c r="C34" s="127" t="s">
        <v>87</v>
      </c>
      <c r="D34" s="128" t="s">
        <v>128</v>
      </c>
      <c r="E34" s="126"/>
      <c r="F34" s="126" t="s">
        <v>120</v>
      </c>
    </row>
    <row r="35" spans="3:6" ht="15" x14ac:dyDescent="0.2">
      <c r="C35" s="127" t="s">
        <v>87</v>
      </c>
      <c r="D35" s="128" t="s">
        <v>129</v>
      </c>
      <c r="E35" s="126"/>
      <c r="F35" s="126" t="s">
        <v>311</v>
      </c>
    </row>
    <row r="36" spans="3:6" ht="15" x14ac:dyDescent="0.2">
      <c r="C36" s="127" t="s">
        <v>87</v>
      </c>
      <c r="D36" s="125" t="s">
        <v>130</v>
      </c>
      <c r="E36" s="126"/>
      <c r="F36" s="126" t="s">
        <v>120</v>
      </c>
    </row>
    <row r="37" spans="3:6" ht="15" x14ac:dyDescent="0.2">
      <c r="C37" s="127" t="s">
        <v>87</v>
      </c>
      <c r="D37" s="125" t="s">
        <v>131</v>
      </c>
      <c r="E37" s="126"/>
      <c r="F37" s="126" t="s">
        <v>120</v>
      </c>
    </row>
    <row r="38" spans="3:6" ht="15" x14ac:dyDescent="0.2">
      <c r="C38" s="127" t="s">
        <v>87</v>
      </c>
      <c r="D38" s="125" t="s">
        <v>132</v>
      </c>
      <c r="E38" s="126"/>
      <c r="F38" s="126" t="s">
        <v>120</v>
      </c>
    </row>
    <row r="39" spans="3:6" ht="30" x14ac:dyDescent="0.2">
      <c r="C39" s="127" t="s">
        <v>87</v>
      </c>
      <c r="D39" s="125" t="s">
        <v>133</v>
      </c>
      <c r="E39" s="126"/>
      <c r="F39" s="126" t="s">
        <v>311</v>
      </c>
    </row>
    <row r="40" spans="3:6" ht="15" x14ac:dyDescent="0.2">
      <c r="C40" s="127" t="s">
        <v>87</v>
      </c>
      <c r="D40" s="125" t="s">
        <v>134</v>
      </c>
      <c r="E40" s="126"/>
      <c r="F40" s="126" t="s">
        <v>313</v>
      </c>
    </row>
    <row r="41" spans="3:6" ht="15" x14ac:dyDescent="0.2">
      <c r="C41" s="127" t="s">
        <v>87</v>
      </c>
      <c r="D41" s="125" t="s">
        <v>135</v>
      </c>
      <c r="E41" s="126"/>
      <c r="F41" s="126" t="s">
        <v>120</v>
      </c>
    </row>
    <row r="42" spans="3:6" ht="15" x14ac:dyDescent="0.2">
      <c r="C42" s="127" t="s">
        <v>87</v>
      </c>
      <c r="D42" s="125" t="s">
        <v>136</v>
      </c>
      <c r="E42" s="126"/>
      <c r="F42" s="126" t="s">
        <v>120</v>
      </c>
    </row>
    <row r="43" spans="3:6" ht="15" x14ac:dyDescent="0.2">
      <c r="C43" s="127" t="s">
        <v>87</v>
      </c>
      <c r="D43" s="125" t="s">
        <v>137</v>
      </c>
      <c r="E43" s="126"/>
      <c r="F43" s="126" t="s">
        <v>311</v>
      </c>
    </row>
    <row r="44" spans="3:6" ht="15" x14ac:dyDescent="0.2">
      <c r="C44" s="127" t="s">
        <v>87</v>
      </c>
      <c r="D44" s="125" t="s">
        <v>138</v>
      </c>
      <c r="E44" s="126"/>
      <c r="F44" s="126" t="s">
        <v>311</v>
      </c>
    </row>
    <row r="45" spans="3:6" ht="15" x14ac:dyDescent="0.2">
      <c r="C45" s="127" t="s">
        <v>87</v>
      </c>
      <c r="D45" s="125" t="s">
        <v>139</v>
      </c>
      <c r="E45" s="126"/>
      <c r="F45" s="126" t="s">
        <v>311</v>
      </c>
    </row>
    <row r="46" spans="3:6" ht="15" x14ac:dyDescent="0.2">
      <c r="C46" s="127" t="s">
        <v>87</v>
      </c>
      <c r="D46" s="125" t="s">
        <v>140</v>
      </c>
      <c r="E46" s="126"/>
      <c r="F46" s="126" t="s">
        <v>311</v>
      </c>
    </row>
    <row r="47" spans="3:6" ht="15" x14ac:dyDescent="0.2">
      <c r="C47" s="127" t="s">
        <v>87</v>
      </c>
      <c r="D47" s="125" t="s">
        <v>141</v>
      </c>
      <c r="E47" s="126"/>
      <c r="F47" s="126" t="s">
        <v>311</v>
      </c>
    </row>
    <row r="48" spans="3:6" ht="15" x14ac:dyDescent="0.2">
      <c r="C48" s="127" t="s">
        <v>87</v>
      </c>
      <c r="D48" s="125" t="s">
        <v>142</v>
      </c>
      <c r="E48" s="126"/>
      <c r="F48" s="126" t="s">
        <v>311</v>
      </c>
    </row>
    <row r="49" spans="3:6" ht="15" x14ac:dyDescent="0.2">
      <c r="C49" s="127" t="s">
        <v>87</v>
      </c>
      <c r="D49" s="125" t="s">
        <v>143</v>
      </c>
      <c r="E49" s="126"/>
      <c r="F49" s="126" t="s">
        <v>311</v>
      </c>
    </row>
    <row r="50" spans="3:6" ht="15" x14ac:dyDescent="0.2">
      <c r="C50" s="127" t="s">
        <v>87</v>
      </c>
      <c r="D50" s="125" t="s">
        <v>144</v>
      </c>
      <c r="E50" s="126"/>
      <c r="F50" s="126" t="s">
        <v>311</v>
      </c>
    </row>
    <row r="51" spans="3:6" ht="15" x14ac:dyDescent="0.2">
      <c r="C51" s="127" t="s">
        <v>87</v>
      </c>
      <c r="D51" s="125" t="s">
        <v>145</v>
      </c>
      <c r="E51" s="126"/>
      <c r="F51" s="126" t="s">
        <v>311</v>
      </c>
    </row>
    <row r="52" spans="3:6" ht="15" x14ac:dyDescent="0.2">
      <c r="C52" s="127" t="s">
        <v>87</v>
      </c>
      <c r="D52" s="125" t="s">
        <v>146</v>
      </c>
      <c r="E52" s="126"/>
      <c r="F52" s="126" t="s">
        <v>311</v>
      </c>
    </row>
    <row r="53" spans="3:6" ht="15" x14ac:dyDescent="0.2">
      <c r="C53" s="127" t="s">
        <v>87</v>
      </c>
      <c r="D53" s="125" t="s">
        <v>147</v>
      </c>
      <c r="E53" s="126"/>
      <c r="F53" s="126" t="s">
        <v>313</v>
      </c>
    </row>
    <row r="54" spans="3:6" ht="15" x14ac:dyDescent="0.2">
      <c r="C54" s="127" t="s">
        <v>87</v>
      </c>
      <c r="D54" s="125" t="s">
        <v>148</v>
      </c>
      <c r="E54" s="126"/>
      <c r="F54" s="126" t="s">
        <v>121</v>
      </c>
    </row>
    <row r="55" spans="3:6" ht="15" x14ac:dyDescent="0.2">
      <c r="C55" s="127" t="s">
        <v>87</v>
      </c>
      <c r="D55" s="125" t="s">
        <v>149</v>
      </c>
      <c r="E55" s="126"/>
      <c r="F55" s="126" t="s">
        <v>121</v>
      </c>
    </row>
    <row r="56" spans="3:6" ht="15" x14ac:dyDescent="0.2">
      <c r="C56" s="127" t="s">
        <v>87</v>
      </c>
      <c r="D56" s="125" t="s">
        <v>150</v>
      </c>
      <c r="E56" s="126"/>
      <c r="F56" s="126" t="s">
        <v>121</v>
      </c>
    </row>
    <row r="57" spans="3:6" ht="15" x14ac:dyDescent="0.2">
      <c r="C57" s="127" t="s">
        <v>87</v>
      </c>
      <c r="D57" s="125" t="s">
        <v>151</v>
      </c>
      <c r="E57" s="126"/>
      <c r="F57" s="126" t="s">
        <v>121</v>
      </c>
    </row>
    <row r="58" spans="3:6" ht="15" x14ac:dyDescent="0.2">
      <c r="C58" s="121" t="s">
        <v>87</v>
      </c>
      <c r="D58" s="122" t="s">
        <v>71</v>
      </c>
      <c r="E58" s="123"/>
      <c r="F58" s="123" t="s">
        <v>121</v>
      </c>
    </row>
    <row r="59" spans="3:6" ht="15" x14ac:dyDescent="0.2">
      <c r="C59" s="127" t="s">
        <v>87</v>
      </c>
      <c r="D59" s="125" t="s">
        <v>157</v>
      </c>
      <c r="E59" s="126"/>
      <c r="F59" s="126" t="s">
        <v>311</v>
      </c>
    </row>
    <row r="60" spans="3:6" ht="15" x14ac:dyDescent="0.2">
      <c r="C60" s="127" t="s">
        <v>87</v>
      </c>
      <c r="D60" s="125" t="s">
        <v>152</v>
      </c>
      <c r="E60" s="126"/>
      <c r="F60" s="126" t="s">
        <v>311</v>
      </c>
    </row>
    <row r="61" spans="3:6" ht="15" x14ac:dyDescent="0.2">
      <c r="C61" s="127" t="s">
        <v>87</v>
      </c>
      <c r="D61" s="125" t="s">
        <v>153</v>
      </c>
      <c r="E61" s="126"/>
      <c r="F61" s="126" t="s">
        <v>313</v>
      </c>
    </row>
    <row r="62" spans="3:6" ht="15" x14ac:dyDescent="0.2">
      <c r="C62" s="127" t="s">
        <v>87</v>
      </c>
      <c r="D62" s="125" t="s">
        <v>154</v>
      </c>
      <c r="E62" s="126"/>
      <c r="F62" s="126" t="s">
        <v>313</v>
      </c>
    </row>
    <row r="63" spans="3:6" ht="15" x14ac:dyDescent="0.2">
      <c r="C63" s="127" t="s">
        <v>87</v>
      </c>
      <c r="D63" s="125" t="s">
        <v>155</v>
      </c>
      <c r="E63" s="126"/>
      <c r="F63" s="126" t="s">
        <v>313</v>
      </c>
    </row>
    <row r="64" spans="3:6" ht="15" x14ac:dyDescent="0.2">
      <c r="C64" s="127" t="s">
        <v>87</v>
      </c>
      <c r="D64" s="125" t="s">
        <v>156</v>
      </c>
      <c r="E64" s="126"/>
      <c r="F64" s="126" t="s">
        <v>121</v>
      </c>
    </row>
    <row r="65" spans="3:6" ht="15" x14ac:dyDescent="0.2">
      <c r="C65" s="121" t="s">
        <v>87</v>
      </c>
      <c r="D65" s="122" t="s">
        <v>75</v>
      </c>
      <c r="E65" s="123"/>
      <c r="F65" s="123" t="s">
        <v>313</v>
      </c>
    </row>
    <row r="66" spans="3:6" ht="15" x14ac:dyDescent="0.2">
      <c r="C66" s="127" t="s">
        <v>87</v>
      </c>
      <c r="D66" s="125" t="s">
        <v>158</v>
      </c>
      <c r="E66" s="126"/>
      <c r="F66" s="126" t="s">
        <v>120</v>
      </c>
    </row>
    <row r="67" spans="3:6" ht="15" x14ac:dyDescent="0.2">
      <c r="C67" s="127" t="s">
        <v>87</v>
      </c>
      <c r="D67" s="125" t="s">
        <v>159</v>
      </c>
      <c r="E67" s="126"/>
      <c r="F67" s="126" t="s">
        <v>120</v>
      </c>
    </row>
    <row r="68" spans="3:6" ht="15" x14ac:dyDescent="0.2">
      <c r="C68" s="127" t="s">
        <v>87</v>
      </c>
      <c r="D68" s="125" t="s">
        <v>160</v>
      </c>
      <c r="E68" s="126"/>
      <c r="F68" s="126" t="s">
        <v>311</v>
      </c>
    </row>
    <row r="69" spans="3:6" ht="15" x14ac:dyDescent="0.2">
      <c r="C69" s="127" t="s">
        <v>87</v>
      </c>
      <c r="D69" s="125" t="s">
        <v>161</v>
      </c>
      <c r="E69" s="126"/>
      <c r="F69" s="126" t="s">
        <v>313</v>
      </c>
    </row>
    <row r="70" spans="3:6" ht="15" x14ac:dyDescent="0.2">
      <c r="C70" s="127" t="s">
        <v>87</v>
      </c>
      <c r="D70" s="125" t="s">
        <v>162</v>
      </c>
      <c r="E70" s="126"/>
      <c r="F70" s="126" t="s">
        <v>313</v>
      </c>
    </row>
    <row r="71" spans="3:6" ht="15" x14ac:dyDescent="0.2">
      <c r="C71" s="121" t="s">
        <v>87</v>
      </c>
      <c r="D71" s="122" t="s">
        <v>79</v>
      </c>
      <c r="E71" s="123"/>
      <c r="F71" s="123" t="s">
        <v>121</v>
      </c>
    </row>
    <row r="72" spans="3:6" ht="15" x14ac:dyDescent="0.2">
      <c r="C72" s="127" t="s">
        <v>87</v>
      </c>
      <c r="D72" s="125" t="s">
        <v>163</v>
      </c>
      <c r="E72" s="126"/>
      <c r="F72" s="126" t="s">
        <v>311</v>
      </c>
    </row>
    <row r="73" spans="3:6" ht="30" x14ac:dyDescent="0.2">
      <c r="C73" s="127" t="s">
        <v>87</v>
      </c>
      <c r="D73" s="125" t="s">
        <v>164</v>
      </c>
      <c r="E73" s="126"/>
      <c r="F73" s="126" t="s">
        <v>311</v>
      </c>
    </row>
    <row r="74" spans="3:6" ht="15" x14ac:dyDescent="0.2">
      <c r="C74" s="127" t="s">
        <v>87</v>
      </c>
      <c r="D74" s="125" t="s">
        <v>165</v>
      </c>
      <c r="E74" s="126"/>
      <c r="F74" s="126" t="s">
        <v>311</v>
      </c>
    </row>
    <row r="75" spans="3:6" ht="15" x14ac:dyDescent="0.2">
      <c r="C75" s="127" t="s">
        <v>87</v>
      </c>
      <c r="D75" s="125" t="s">
        <v>166</v>
      </c>
      <c r="E75" s="126"/>
      <c r="F75" s="126" t="s">
        <v>314</v>
      </c>
    </row>
    <row r="76" spans="3:6" ht="15" x14ac:dyDescent="0.2">
      <c r="C76" s="127" t="s">
        <v>87</v>
      </c>
      <c r="D76" s="125" t="s">
        <v>167</v>
      </c>
      <c r="E76" s="126"/>
      <c r="F76" s="126" t="s">
        <v>314</v>
      </c>
    </row>
    <row r="77" spans="3:6" ht="15" x14ac:dyDescent="0.2">
      <c r="C77" s="127" t="s">
        <v>87</v>
      </c>
      <c r="D77" s="125" t="s">
        <v>168</v>
      </c>
      <c r="E77" s="126"/>
      <c r="F77" s="126" t="s">
        <v>121</v>
      </c>
    </row>
    <row r="78" spans="3:6" ht="30" x14ac:dyDescent="0.2">
      <c r="C78" s="127" t="s">
        <v>87</v>
      </c>
      <c r="D78" s="125" t="s">
        <v>169</v>
      </c>
      <c r="E78" s="126"/>
      <c r="F78" s="126" t="s">
        <v>314</v>
      </c>
    </row>
    <row r="79" spans="3:6" ht="15" x14ac:dyDescent="0.2">
      <c r="C79" s="121" t="s">
        <v>87</v>
      </c>
      <c r="D79" s="122" t="s">
        <v>171</v>
      </c>
      <c r="E79" s="123"/>
      <c r="F79" s="123" t="s">
        <v>312</v>
      </c>
    </row>
    <row r="80" spans="3:6" ht="15" x14ac:dyDescent="0.2">
      <c r="C80" s="127" t="s">
        <v>87</v>
      </c>
      <c r="D80" s="125" t="s">
        <v>172</v>
      </c>
      <c r="E80" s="126"/>
      <c r="F80" s="126" t="s">
        <v>120</v>
      </c>
    </row>
    <row r="81" spans="3:6" ht="15" x14ac:dyDescent="0.2">
      <c r="C81" s="127" t="s">
        <v>87</v>
      </c>
      <c r="D81" s="125" t="s">
        <v>176</v>
      </c>
      <c r="E81" s="126"/>
      <c r="F81" s="126" t="s">
        <v>120</v>
      </c>
    </row>
    <row r="82" spans="3:6" ht="15" x14ac:dyDescent="0.2">
      <c r="C82" s="127" t="s">
        <v>87</v>
      </c>
      <c r="D82" s="125" t="s">
        <v>175</v>
      </c>
      <c r="E82" s="126"/>
      <c r="F82" s="126" t="s">
        <v>120</v>
      </c>
    </row>
    <row r="83" spans="3:6" ht="15" x14ac:dyDescent="0.2">
      <c r="C83" s="127" t="s">
        <v>87</v>
      </c>
      <c r="D83" s="125" t="s">
        <v>177</v>
      </c>
      <c r="E83" s="126"/>
      <c r="F83" s="126" t="s">
        <v>120</v>
      </c>
    </row>
    <row r="84" spans="3:6" ht="15" x14ac:dyDescent="0.2">
      <c r="C84" s="127" t="s">
        <v>87</v>
      </c>
      <c r="D84" s="125" t="s">
        <v>178</v>
      </c>
      <c r="E84" s="126"/>
      <c r="F84" s="126" t="s">
        <v>120</v>
      </c>
    </row>
    <row r="85" spans="3:6" ht="15" x14ac:dyDescent="0.2">
      <c r="C85" s="127" t="s">
        <v>87</v>
      </c>
      <c r="D85" s="125" t="s">
        <v>179</v>
      </c>
      <c r="E85" s="126"/>
      <c r="F85" s="126" t="s">
        <v>312</v>
      </c>
    </row>
    <row r="86" spans="3:6" ht="15" x14ac:dyDescent="0.2">
      <c r="C86" s="127" t="s">
        <v>87</v>
      </c>
      <c r="D86" s="125" t="s">
        <v>180</v>
      </c>
      <c r="E86" s="126"/>
      <c r="F86" s="126" t="s">
        <v>120</v>
      </c>
    </row>
    <row r="87" spans="3:6" ht="15" x14ac:dyDescent="0.2">
      <c r="C87" s="121" t="s">
        <v>87</v>
      </c>
      <c r="D87" s="122" t="s">
        <v>181</v>
      </c>
      <c r="E87" s="123"/>
      <c r="F87" s="123" t="s">
        <v>314</v>
      </c>
    </row>
    <row r="88" spans="3:6" ht="15" x14ac:dyDescent="0.2">
      <c r="C88" s="127" t="s">
        <v>87</v>
      </c>
      <c r="D88" s="125" t="s">
        <v>182</v>
      </c>
      <c r="E88" s="126"/>
      <c r="F88" s="126" t="s">
        <v>311</v>
      </c>
    </row>
    <row r="89" spans="3:6" ht="15" x14ac:dyDescent="0.2">
      <c r="C89" s="127" t="s">
        <v>87</v>
      </c>
      <c r="D89" s="125" t="s">
        <v>173</v>
      </c>
      <c r="E89" s="126"/>
      <c r="F89" s="126" t="s">
        <v>313</v>
      </c>
    </row>
    <row r="90" spans="3:6" ht="15" x14ac:dyDescent="0.2">
      <c r="C90" s="127" t="s">
        <v>87</v>
      </c>
      <c r="D90" s="125" t="s">
        <v>174</v>
      </c>
      <c r="E90" s="126"/>
      <c r="F90" s="126" t="s">
        <v>313</v>
      </c>
    </row>
    <row r="91" spans="3:6" ht="15" x14ac:dyDescent="0.2">
      <c r="C91" s="127" t="s">
        <v>87</v>
      </c>
      <c r="D91" s="125" t="s">
        <v>183</v>
      </c>
      <c r="E91" s="126"/>
      <c r="F91" s="126" t="s">
        <v>313</v>
      </c>
    </row>
    <row r="92" spans="3:6" ht="15" x14ac:dyDescent="0.2">
      <c r="C92" s="127" t="s">
        <v>87</v>
      </c>
      <c r="D92" s="125" t="s">
        <v>184</v>
      </c>
      <c r="E92" s="126"/>
      <c r="F92" s="126" t="s">
        <v>311</v>
      </c>
    </row>
    <row r="93" spans="3:6" ht="15" x14ac:dyDescent="0.2">
      <c r="C93" s="127" t="s">
        <v>87</v>
      </c>
      <c r="D93" s="125" t="s">
        <v>185</v>
      </c>
      <c r="E93" s="126"/>
      <c r="F93" s="126" t="s">
        <v>314</v>
      </c>
    </row>
    <row r="94" spans="3:6" ht="15" x14ac:dyDescent="0.2">
      <c r="C94" s="127" t="s">
        <v>87</v>
      </c>
      <c r="D94" s="125" t="s">
        <v>186</v>
      </c>
      <c r="E94" s="126"/>
      <c r="F94" s="126" t="s">
        <v>314</v>
      </c>
    </row>
    <row r="95" spans="3:6" ht="15" x14ac:dyDescent="0.2">
      <c r="C95" s="127" t="s">
        <v>87</v>
      </c>
      <c r="D95" s="125" t="s">
        <v>187</v>
      </c>
      <c r="E95" s="126"/>
      <c r="F95" s="126" t="s">
        <v>314</v>
      </c>
    </row>
    <row r="96" spans="3:6" ht="15" x14ac:dyDescent="0.2">
      <c r="C96" s="121" t="s">
        <v>87</v>
      </c>
      <c r="D96" s="122" t="s">
        <v>188</v>
      </c>
      <c r="E96" s="123"/>
      <c r="F96" s="123" t="s">
        <v>312</v>
      </c>
    </row>
    <row r="97" spans="3:6" ht="15" x14ac:dyDescent="0.2">
      <c r="C97" s="124" t="s">
        <v>87</v>
      </c>
      <c r="D97" s="125" t="s">
        <v>189</v>
      </c>
      <c r="E97" s="126"/>
      <c r="F97" s="126" t="s">
        <v>120</v>
      </c>
    </row>
    <row r="98" spans="3:6" ht="15" x14ac:dyDescent="0.2">
      <c r="C98" s="124" t="s">
        <v>87</v>
      </c>
      <c r="D98" s="125" t="s">
        <v>190</v>
      </c>
      <c r="E98" s="126"/>
      <c r="F98" s="126" t="s">
        <v>120</v>
      </c>
    </row>
    <row r="99" spans="3:6" ht="15" x14ac:dyDescent="0.2">
      <c r="C99" s="124" t="s">
        <v>87</v>
      </c>
      <c r="D99" s="125" t="s">
        <v>191</v>
      </c>
      <c r="E99" s="126"/>
      <c r="F99" s="126" t="s">
        <v>120</v>
      </c>
    </row>
    <row r="100" spans="3:6" ht="15" x14ac:dyDescent="0.2">
      <c r="C100" s="121" t="s">
        <v>87</v>
      </c>
      <c r="D100" s="122" t="s">
        <v>192</v>
      </c>
      <c r="E100" s="123"/>
      <c r="F100" s="123" t="s">
        <v>312</v>
      </c>
    </row>
    <row r="101" spans="3:6" ht="15" x14ac:dyDescent="0.2">
      <c r="C101" s="124" t="s">
        <v>87</v>
      </c>
      <c r="D101" s="125" t="s">
        <v>193</v>
      </c>
      <c r="E101" s="126"/>
      <c r="F101" s="126" t="s">
        <v>120</v>
      </c>
    </row>
    <row r="102" spans="3:6" ht="15" x14ac:dyDescent="0.2">
      <c r="C102" s="124" t="s">
        <v>87</v>
      </c>
      <c r="D102" s="125" t="s">
        <v>194</v>
      </c>
      <c r="E102" s="126"/>
      <c r="F102" s="126" t="s">
        <v>120</v>
      </c>
    </row>
    <row r="103" spans="3:6" ht="15" x14ac:dyDescent="0.2">
      <c r="C103" s="124" t="s">
        <v>87</v>
      </c>
      <c r="D103" s="125" t="s">
        <v>195</v>
      </c>
      <c r="E103" s="126"/>
      <c r="F103" s="126" t="s">
        <v>120</v>
      </c>
    </row>
    <row r="104" spans="3:6" ht="15" x14ac:dyDescent="0.2">
      <c r="C104" s="124" t="s">
        <v>87</v>
      </c>
      <c r="D104" s="125" t="s">
        <v>196</v>
      </c>
      <c r="E104" s="126"/>
      <c r="F104" s="126" t="s">
        <v>120</v>
      </c>
    </row>
    <row r="105" spans="3:6" ht="15" x14ac:dyDescent="0.2">
      <c r="C105" s="124" t="s">
        <v>87</v>
      </c>
      <c r="D105" s="125" t="s">
        <v>197</v>
      </c>
      <c r="E105" s="126"/>
      <c r="F105" s="126" t="s">
        <v>120</v>
      </c>
    </row>
    <row r="106" spans="3:6" ht="15" x14ac:dyDescent="0.2">
      <c r="C106" s="124" t="s">
        <v>87</v>
      </c>
      <c r="D106" s="125" t="s">
        <v>198</v>
      </c>
      <c r="E106" s="126"/>
      <c r="F106" s="126" t="s">
        <v>120</v>
      </c>
    </row>
    <row r="107" spans="3:6" ht="15" x14ac:dyDescent="0.2">
      <c r="C107" s="124" t="s">
        <v>87</v>
      </c>
      <c r="D107" s="125" t="s">
        <v>199</v>
      </c>
      <c r="E107" s="126"/>
      <c r="F107" s="126" t="s">
        <v>120</v>
      </c>
    </row>
    <row r="108" spans="3:6" ht="15" x14ac:dyDescent="0.2">
      <c r="C108" s="124" t="s">
        <v>87</v>
      </c>
      <c r="D108" s="125" t="s">
        <v>200</v>
      </c>
      <c r="E108" s="126"/>
      <c r="F108" s="126" t="s">
        <v>120</v>
      </c>
    </row>
    <row r="109" spans="3:6" ht="15" x14ac:dyDescent="0.2">
      <c r="C109" s="124" t="s">
        <v>87</v>
      </c>
      <c r="D109" s="125" t="s">
        <v>201</v>
      </c>
      <c r="E109" s="126"/>
      <c r="F109" s="126" t="s">
        <v>120</v>
      </c>
    </row>
    <row r="110" spans="3:6" ht="30" x14ac:dyDescent="0.2">
      <c r="C110" s="124" t="s">
        <v>87</v>
      </c>
      <c r="D110" s="125" t="s">
        <v>202</v>
      </c>
      <c r="E110" s="126"/>
      <c r="F110" s="126" t="s">
        <v>120</v>
      </c>
    </row>
    <row r="111" spans="3:6" ht="15" x14ac:dyDescent="0.2">
      <c r="C111" s="124" t="s">
        <v>87</v>
      </c>
      <c r="D111" s="125" t="s">
        <v>203</v>
      </c>
      <c r="E111" s="126"/>
      <c r="F111" s="126" t="s">
        <v>120</v>
      </c>
    </row>
    <row r="112" spans="3:6" ht="15" x14ac:dyDescent="0.2">
      <c r="C112" s="124" t="s">
        <v>87</v>
      </c>
      <c r="D112" s="125" t="s">
        <v>204</v>
      </c>
      <c r="E112" s="126"/>
      <c r="F112" s="126" t="s">
        <v>120</v>
      </c>
    </row>
    <row r="113" spans="3:6" ht="15" x14ac:dyDescent="0.2">
      <c r="C113" s="124" t="s">
        <v>87</v>
      </c>
      <c r="D113" s="125" t="s">
        <v>205</v>
      </c>
      <c r="E113" s="126"/>
      <c r="F113" s="126" t="s">
        <v>120</v>
      </c>
    </row>
    <row r="114" spans="3:6" ht="15" x14ac:dyDescent="0.2">
      <c r="C114" s="124" t="s">
        <v>87</v>
      </c>
      <c r="D114" s="125" t="s">
        <v>206</v>
      </c>
      <c r="E114" s="126"/>
      <c r="F114" s="126" t="s">
        <v>120</v>
      </c>
    </row>
    <row r="115" spans="3:6" ht="15" x14ac:dyDescent="0.2">
      <c r="C115" s="124" t="s">
        <v>87</v>
      </c>
      <c r="D115" s="125" t="s">
        <v>207</v>
      </c>
      <c r="E115" s="126"/>
      <c r="F115" s="126" t="s">
        <v>120</v>
      </c>
    </row>
    <row r="116" spans="3:6" ht="15" x14ac:dyDescent="0.2">
      <c r="C116" s="124" t="s">
        <v>87</v>
      </c>
      <c r="D116" s="125" t="s">
        <v>208</v>
      </c>
      <c r="E116" s="126"/>
      <c r="F116" s="126" t="s">
        <v>312</v>
      </c>
    </row>
    <row r="117" spans="3:6" ht="15" x14ac:dyDescent="0.2">
      <c r="C117" s="124" t="s">
        <v>87</v>
      </c>
      <c r="D117" s="125" t="s">
        <v>209</v>
      </c>
      <c r="E117" s="126"/>
      <c r="F117" s="126" t="s">
        <v>311</v>
      </c>
    </row>
    <row r="118" spans="3:6" ht="15" x14ac:dyDescent="0.2">
      <c r="C118" s="124" t="s">
        <v>87</v>
      </c>
      <c r="D118" s="125" t="s">
        <v>210</v>
      </c>
      <c r="E118" s="126"/>
      <c r="F118" s="126" t="s">
        <v>312</v>
      </c>
    </row>
    <row r="119" spans="3:6" ht="15" x14ac:dyDescent="0.2">
      <c r="C119" s="124" t="s">
        <v>87</v>
      </c>
      <c r="D119" s="125" t="s">
        <v>211</v>
      </c>
      <c r="E119" s="126"/>
      <c r="F119" s="126" t="s">
        <v>311</v>
      </c>
    </row>
    <row r="120" spans="3:6" ht="15" x14ac:dyDescent="0.2">
      <c r="C120" s="124" t="s">
        <v>87</v>
      </c>
      <c r="D120" s="125" t="s">
        <v>212</v>
      </c>
      <c r="E120" s="126"/>
      <c r="F120" s="126" t="s">
        <v>121</v>
      </c>
    </row>
    <row r="121" spans="3:6" ht="15" x14ac:dyDescent="0.2">
      <c r="C121" s="124" t="s">
        <v>87</v>
      </c>
      <c r="D121" s="125" t="s">
        <v>213</v>
      </c>
      <c r="E121" s="126"/>
      <c r="F121" s="126" t="s">
        <v>121</v>
      </c>
    </row>
    <row r="122" spans="3:6" ht="15" x14ac:dyDescent="0.2">
      <c r="C122" s="124" t="s">
        <v>87</v>
      </c>
      <c r="D122" s="125" t="s">
        <v>214</v>
      </c>
      <c r="E122" s="126"/>
      <c r="F122" s="126" t="s">
        <v>121</v>
      </c>
    </row>
    <row r="123" spans="3:6" ht="15" x14ac:dyDescent="0.2">
      <c r="C123" s="121" t="s">
        <v>87</v>
      </c>
      <c r="D123" s="122" t="s">
        <v>215</v>
      </c>
      <c r="E123" s="123"/>
      <c r="F123" s="123" t="s">
        <v>311</v>
      </c>
    </row>
    <row r="124" spans="3:6" ht="30" x14ac:dyDescent="0.2">
      <c r="C124" s="124" t="s">
        <v>87</v>
      </c>
      <c r="D124" s="125" t="s">
        <v>216</v>
      </c>
      <c r="E124" s="126"/>
      <c r="F124" s="126" t="s">
        <v>311</v>
      </c>
    </row>
    <row r="125" spans="3:6" ht="15" x14ac:dyDescent="0.2">
      <c r="C125" s="124" t="s">
        <v>87</v>
      </c>
      <c r="D125" s="125" t="s">
        <v>217</v>
      </c>
      <c r="E125" s="126"/>
      <c r="F125" s="126" t="s">
        <v>311</v>
      </c>
    </row>
    <row r="126" spans="3:6" ht="15" x14ac:dyDescent="0.2">
      <c r="C126" s="124" t="s">
        <v>87</v>
      </c>
      <c r="D126" s="125" t="s">
        <v>218</v>
      </c>
      <c r="E126" s="126"/>
      <c r="F126" s="126" t="s">
        <v>311</v>
      </c>
    </row>
    <row r="127" spans="3:6" ht="15" x14ac:dyDescent="0.2">
      <c r="C127" s="124" t="s">
        <v>87</v>
      </c>
      <c r="D127" s="125" t="s">
        <v>219</v>
      </c>
      <c r="E127" s="126"/>
      <c r="F127" s="126" t="s">
        <v>311</v>
      </c>
    </row>
    <row r="128" spans="3:6" ht="15" x14ac:dyDescent="0.2">
      <c r="C128" s="121" t="s">
        <v>87</v>
      </c>
      <c r="D128" s="122" t="s">
        <v>220</v>
      </c>
      <c r="E128" s="123"/>
      <c r="F128" s="123" t="s">
        <v>312</v>
      </c>
    </row>
    <row r="129" spans="3:6" ht="15" x14ac:dyDescent="0.2">
      <c r="C129" s="124" t="s">
        <v>87</v>
      </c>
      <c r="D129" s="125" t="s">
        <v>221</v>
      </c>
      <c r="E129" s="126"/>
      <c r="F129" s="126" t="s">
        <v>120</v>
      </c>
    </row>
    <row r="130" spans="3:6" ht="15" x14ac:dyDescent="0.2">
      <c r="C130" s="124" t="s">
        <v>87</v>
      </c>
      <c r="D130" s="125" t="s">
        <v>222</v>
      </c>
      <c r="E130" s="126"/>
      <c r="F130" s="126" t="s">
        <v>120</v>
      </c>
    </row>
    <row r="131" spans="3:6" ht="15" x14ac:dyDescent="0.2">
      <c r="C131" s="124" t="s">
        <v>87</v>
      </c>
      <c r="D131" s="125" t="s">
        <v>223</v>
      </c>
      <c r="E131" s="126"/>
      <c r="F131" s="126" t="s">
        <v>120</v>
      </c>
    </row>
    <row r="132" spans="3:6" ht="15" x14ac:dyDescent="0.2">
      <c r="C132" s="124" t="s">
        <v>87</v>
      </c>
      <c r="D132" s="125" t="s">
        <v>224</v>
      </c>
      <c r="E132" s="126"/>
      <c r="F132" s="126" t="s">
        <v>121</v>
      </c>
    </row>
    <row r="133" spans="3:6" ht="15" x14ac:dyDescent="0.2">
      <c r="C133" s="124" t="s">
        <v>87</v>
      </c>
      <c r="D133" s="125" t="s">
        <v>225</v>
      </c>
      <c r="E133" s="126"/>
      <c r="F133" s="126" t="s">
        <v>121</v>
      </c>
    </row>
    <row r="134" spans="3:6" ht="15" x14ac:dyDescent="0.2">
      <c r="C134" s="124" t="s">
        <v>87</v>
      </c>
      <c r="D134" s="125" t="s">
        <v>226</v>
      </c>
      <c r="E134" s="126"/>
      <c r="F134" s="126" t="s">
        <v>121</v>
      </c>
    </row>
    <row r="135" spans="3:6" ht="15" x14ac:dyDescent="0.2">
      <c r="C135" s="124" t="s">
        <v>87</v>
      </c>
      <c r="D135" s="125" t="s">
        <v>227</v>
      </c>
      <c r="E135" s="126"/>
      <c r="F135" s="126" t="s">
        <v>121</v>
      </c>
    </row>
    <row r="136" spans="3:6" ht="15" x14ac:dyDescent="0.2">
      <c r="C136" s="121" t="s">
        <v>87</v>
      </c>
      <c r="D136" s="122" t="s">
        <v>228</v>
      </c>
      <c r="E136" s="123"/>
      <c r="F136" s="123" t="s">
        <v>121</v>
      </c>
    </row>
    <row r="137" spans="3:6" ht="15" x14ac:dyDescent="0.2">
      <c r="C137" s="124" t="s">
        <v>87</v>
      </c>
      <c r="D137" s="125" t="s">
        <v>229</v>
      </c>
      <c r="E137" s="126"/>
      <c r="F137" s="126" t="s">
        <v>311</v>
      </c>
    </row>
    <row r="138" spans="3:6" ht="15" x14ac:dyDescent="0.2">
      <c r="C138" s="124" t="s">
        <v>87</v>
      </c>
      <c r="D138" s="125" t="s">
        <v>230</v>
      </c>
      <c r="E138" s="126"/>
      <c r="F138" s="126" t="s">
        <v>311</v>
      </c>
    </row>
    <row r="139" spans="3:6" ht="30" x14ac:dyDescent="0.2">
      <c r="C139" s="124" t="s">
        <v>87</v>
      </c>
      <c r="D139" s="125" t="s">
        <v>231</v>
      </c>
      <c r="E139" s="126"/>
      <c r="F139" s="126" t="s">
        <v>311</v>
      </c>
    </row>
    <row r="140" spans="3:6" ht="15" x14ac:dyDescent="0.2">
      <c r="C140" s="124" t="s">
        <v>87</v>
      </c>
      <c r="D140" s="125" t="s">
        <v>232</v>
      </c>
      <c r="E140" s="126"/>
      <c r="F140" s="126" t="s">
        <v>313</v>
      </c>
    </row>
    <row r="141" spans="3:6" ht="30" x14ac:dyDescent="0.2">
      <c r="C141" s="124" t="s">
        <v>87</v>
      </c>
      <c r="D141" s="125" t="s">
        <v>233</v>
      </c>
      <c r="E141" s="126"/>
      <c r="F141" s="126" t="s">
        <v>313</v>
      </c>
    </row>
    <row r="142" spans="3:6" ht="30" x14ac:dyDescent="0.2">
      <c r="C142" s="124" t="s">
        <v>87</v>
      </c>
      <c r="D142" s="125" t="s">
        <v>234</v>
      </c>
      <c r="E142" s="126"/>
      <c r="F142" s="126" t="s">
        <v>313</v>
      </c>
    </row>
    <row r="143" spans="3:6" ht="15" x14ac:dyDescent="0.2">
      <c r="C143" s="124" t="s">
        <v>87</v>
      </c>
      <c r="D143" s="125" t="s">
        <v>235</v>
      </c>
      <c r="E143" s="126"/>
      <c r="F143" s="126" t="s">
        <v>313</v>
      </c>
    </row>
    <row r="144" spans="3:6" ht="15" x14ac:dyDescent="0.2">
      <c r="C144" s="124" t="s">
        <v>87</v>
      </c>
      <c r="D144" s="125" t="s">
        <v>236</v>
      </c>
      <c r="E144" s="126"/>
      <c r="F144" s="126" t="s">
        <v>314</v>
      </c>
    </row>
    <row r="145" spans="3:6" ht="15" x14ac:dyDescent="0.2">
      <c r="C145" s="124" t="s">
        <v>87</v>
      </c>
      <c r="D145" s="125" t="s">
        <v>237</v>
      </c>
      <c r="E145" s="126"/>
      <c r="F145" s="126" t="s">
        <v>121</v>
      </c>
    </row>
    <row r="146" spans="3:6" ht="15" x14ac:dyDescent="0.2">
      <c r="C146" s="124" t="s">
        <v>87</v>
      </c>
      <c r="D146" s="125" t="s">
        <v>238</v>
      </c>
      <c r="E146" s="126"/>
      <c r="F146" s="126" t="s">
        <v>313</v>
      </c>
    </row>
    <row r="147" spans="3:6" ht="15" x14ac:dyDescent="0.2">
      <c r="C147" s="121" t="s">
        <v>87</v>
      </c>
      <c r="D147" s="122" t="s">
        <v>239</v>
      </c>
      <c r="E147" s="123"/>
      <c r="F147" s="123" t="s">
        <v>311</v>
      </c>
    </row>
    <row r="148" spans="3:6" ht="15" x14ac:dyDescent="0.2">
      <c r="C148" s="124" t="s">
        <v>87</v>
      </c>
      <c r="D148" s="125" t="s">
        <v>240</v>
      </c>
      <c r="E148" s="126"/>
      <c r="F148" s="126" t="s">
        <v>120</v>
      </c>
    </row>
    <row r="149" spans="3:6" ht="15" x14ac:dyDescent="0.2">
      <c r="C149" s="124" t="s">
        <v>87</v>
      </c>
      <c r="D149" s="125" t="s">
        <v>241</v>
      </c>
      <c r="E149" s="126"/>
      <c r="F149" s="126" t="s">
        <v>311</v>
      </c>
    </row>
    <row r="150" spans="3:6" ht="15" x14ac:dyDescent="0.2">
      <c r="C150" s="124" t="s">
        <v>87</v>
      </c>
      <c r="D150" s="125" t="s">
        <v>242</v>
      </c>
      <c r="E150" s="126"/>
      <c r="F150" s="126" t="s">
        <v>311</v>
      </c>
    </row>
    <row r="151" spans="3:6" ht="15" x14ac:dyDescent="0.2">
      <c r="C151" s="121" t="s">
        <v>87</v>
      </c>
      <c r="D151" s="122" t="s">
        <v>243</v>
      </c>
      <c r="E151" s="123"/>
      <c r="F151" s="123" t="s">
        <v>314</v>
      </c>
    </row>
    <row r="152" spans="3:6" ht="15" x14ac:dyDescent="0.2">
      <c r="C152" s="124" t="s">
        <v>87</v>
      </c>
      <c r="D152" s="125" t="s">
        <v>244</v>
      </c>
      <c r="E152" s="126"/>
      <c r="F152" s="126" t="s">
        <v>311</v>
      </c>
    </row>
    <row r="153" spans="3:6" ht="15" x14ac:dyDescent="0.2">
      <c r="C153" s="124" t="s">
        <v>87</v>
      </c>
      <c r="D153" s="125" t="s">
        <v>245</v>
      </c>
      <c r="E153" s="126"/>
      <c r="F153" s="126" t="s">
        <v>311</v>
      </c>
    </row>
    <row r="154" spans="3:6" ht="15" x14ac:dyDescent="0.2">
      <c r="C154" s="124" t="s">
        <v>87</v>
      </c>
      <c r="D154" s="125" t="s">
        <v>246</v>
      </c>
      <c r="E154" s="126"/>
      <c r="F154" s="126" t="s">
        <v>311</v>
      </c>
    </row>
    <row r="155" spans="3:6" ht="15" x14ac:dyDescent="0.2">
      <c r="C155" s="124" t="s">
        <v>87</v>
      </c>
      <c r="D155" s="125" t="s">
        <v>247</v>
      </c>
      <c r="E155" s="126"/>
      <c r="F155" s="126" t="s">
        <v>313</v>
      </c>
    </row>
    <row r="156" spans="3:6" ht="15" x14ac:dyDescent="0.2">
      <c r="C156" s="124" t="s">
        <v>87</v>
      </c>
      <c r="D156" s="125" t="s">
        <v>248</v>
      </c>
      <c r="E156" s="126"/>
      <c r="F156" s="126" t="s">
        <v>314</v>
      </c>
    </row>
    <row r="157" spans="3:6" ht="30" x14ac:dyDescent="0.2">
      <c r="C157" s="124" t="s">
        <v>87</v>
      </c>
      <c r="D157" s="125" t="s">
        <v>249</v>
      </c>
      <c r="E157" s="126"/>
      <c r="F157" s="126" t="s">
        <v>314</v>
      </c>
    </row>
    <row r="158" spans="3:6" ht="15" x14ac:dyDescent="0.2">
      <c r="C158" s="121" t="s">
        <v>87</v>
      </c>
      <c r="D158" s="122" t="s">
        <v>250</v>
      </c>
      <c r="E158" s="123"/>
      <c r="F158" s="123" t="s">
        <v>313</v>
      </c>
    </row>
    <row r="159" spans="3:6" ht="15" x14ac:dyDescent="0.2">
      <c r="C159" s="124" t="s">
        <v>87</v>
      </c>
      <c r="D159" s="125" t="s">
        <v>251</v>
      </c>
      <c r="E159" s="126"/>
      <c r="F159" s="126" t="s">
        <v>120</v>
      </c>
    </row>
    <row r="160" spans="3:6" ht="15" x14ac:dyDescent="0.2">
      <c r="C160" s="124" t="s">
        <v>87</v>
      </c>
      <c r="D160" s="125" t="s">
        <v>252</v>
      </c>
      <c r="E160" s="126"/>
      <c r="F160" s="126" t="s">
        <v>120</v>
      </c>
    </row>
    <row r="161" spans="3:6" ht="15" x14ac:dyDescent="0.2">
      <c r="C161" s="124" t="s">
        <v>87</v>
      </c>
      <c r="D161" s="125" t="s">
        <v>253</v>
      </c>
      <c r="E161" s="126"/>
      <c r="F161" s="126" t="s">
        <v>311</v>
      </c>
    </row>
    <row r="162" spans="3:6" ht="15" x14ac:dyDescent="0.2">
      <c r="C162" s="124" t="s">
        <v>87</v>
      </c>
      <c r="D162" s="125" t="s">
        <v>254</v>
      </c>
      <c r="E162" s="126"/>
      <c r="F162" s="126" t="s">
        <v>312</v>
      </c>
    </row>
    <row r="163" spans="3:6" ht="15" x14ac:dyDescent="0.2">
      <c r="C163" s="124" t="s">
        <v>87</v>
      </c>
      <c r="D163" s="125" t="s">
        <v>255</v>
      </c>
      <c r="E163" s="126"/>
      <c r="F163" s="126" t="s">
        <v>311</v>
      </c>
    </row>
    <row r="164" spans="3:6" ht="30" x14ac:dyDescent="0.2">
      <c r="C164" s="124" t="s">
        <v>87</v>
      </c>
      <c r="D164" s="125" t="s">
        <v>256</v>
      </c>
      <c r="E164" s="126"/>
      <c r="F164" s="126" t="s">
        <v>311</v>
      </c>
    </row>
    <row r="165" spans="3:6" ht="15" x14ac:dyDescent="0.2">
      <c r="C165" s="124" t="s">
        <v>87</v>
      </c>
      <c r="D165" s="125" t="s">
        <v>257</v>
      </c>
      <c r="E165" s="126"/>
      <c r="F165" s="126" t="s">
        <v>313</v>
      </c>
    </row>
    <row r="166" spans="3:6" ht="15" x14ac:dyDescent="0.2">
      <c r="C166" s="124" t="s">
        <v>87</v>
      </c>
      <c r="D166" s="125" t="s">
        <v>258</v>
      </c>
      <c r="E166" s="126"/>
      <c r="F166" s="126" t="s">
        <v>311</v>
      </c>
    </row>
    <row r="167" spans="3:6" ht="15" x14ac:dyDescent="0.2">
      <c r="C167" s="124" t="s">
        <v>87</v>
      </c>
      <c r="D167" s="125" t="s">
        <v>259</v>
      </c>
      <c r="E167" s="126"/>
      <c r="F167" s="126" t="s">
        <v>311</v>
      </c>
    </row>
    <row r="168" spans="3:6" ht="15" x14ac:dyDescent="0.2">
      <c r="C168" s="124" t="s">
        <v>87</v>
      </c>
      <c r="D168" s="125" t="s">
        <v>260</v>
      </c>
      <c r="E168" s="126"/>
      <c r="F168" s="126" t="s">
        <v>121</v>
      </c>
    </row>
    <row r="169" spans="3:6" ht="15" x14ac:dyDescent="0.2">
      <c r="C169" s="121" t="s">
        <v>87</v>
      </c>
      <c r="D169" s="122" t="s">
        <v>83</v>
      </c>
      <c r="E169" s="123"/>
      <c r="F169" s="123" t="s">
        <v>121</v>
      </c>
    </row>
    <row r="170" spans="3:6" ht="15" x14ac:dyDescent="0.2">
      <c r="C170" s="124" t="s">
        <v>87</v>
      </c>
      <c r="D170" s="125" t="s">
        <v>261</v>
      </c>
      <c r="E170" s="126"/>
      <c r="F170" s="126" t="s">
        <v>120</v>
      </c>
    </row>
    <row r="171" spans="3:6" ht="15" x14ac:dyDescent="0.2">
      <c r="C171" s="124" t="s">
        <v>87</v>
      </c>
      <c r="D171" s="125" t="s">
        <v>262</v>
      </c>
      <c r="E171" s="126"/>
      <c r="F171" s="126" t="s">
        <v>120</v>
      </c>
    </row>
    <row r="172" spans="3:6" ht="15" x14ac:dyDescent="0.2">
      <c r="C172" s="124" t="s">
        <v>87</v>
      </c>
      <c r="D172" s="125" t="s">
        <v>263</v>
      </c>
      <c r="E172" s="126"/>
      <c r="F172" s="126" t="s">
        <v>120</v>
      </c>
    </row>
    <row r="173" spans="3:6" ht="15" x14ac:dyDescent="0.2">
      <c r="C173" s="124" t="s">
        <v>87</v>
      </c>
      <c r="D173" s="125" t="s">
        <v>264</v>
      </c>
      <c r="E173" s="126"/>
      <c r="F173" s="126" t="s">
        <v>120</v>
      </c>
    </row>
    <row r="174" spans="3:6" ht="15" x14ac:dyDescent="0.2">
      <c r="C174" s="124" t="s">
        <v>87</v>
      </c>
      <c r="D174" s="125" t="s">
        <v>265</v>
      </c>
      <c r="E174" s="126"/>
      <c r="F174" s="126" t="s">
        <v>120</v>
      </c>
    </row>
    <row r="175" spans="3:6" ht="15" x14ac:dyDescent="0.2">
      <c r="C175" s="124" t="s">
        <v>87</v>
      </c>
      <c r="D175" s="125" t="s">
        <v>266</v>
      </c>
      <c r="E175" s="126"/>
      <c r="F175" s="126" t="s">
        <v>312</v>
      </c>
    </row>
    <row r="176" spans="3:6" ht="15" x14ac:dyDescent="0.2">
      <c r="C176" s="124" t="s">
        <v>87</v>
      </c>
      <c r="D176" s="125" t="s">
        <v>267</v>
      </c>
      <c r="E176" s="126"/>
      <c r="F176" s="126" t="s">
        <v>121</v>
      </c>
    </row>
    <row r="177" spans="3:6" ht="15" x14ac:dyDescent="0.2">
      <c r="C177" s="124" t="s">
        <v>87</v>
      </c>
      <c r="D177" s="125" t="s">
        <v>268</v>
      </c>
      <c r="E177" s="126"/>
      <c r="F177" s="126" t="s">
        <v>313</v>
      </c>
    </row>
    <row r="178" spans="3:6" ht="15" x14ac:dyDescent="0.2">
      <c r="C178" s="124" t="s">
        <v>87</v>
      </c>
      <c r="D178" s="125" t="s">
        <v>269</v>
      </c>
      <c r="E178" s="126"/>
      <c r="F178" s="126" t="s">
        <v>313</v>
      </c>
    </row>
    <row r="179" spans="3:6" ht="15" x14ac:dyDescent="0.2">
      <c r="C179" s="124" t="s">
        <v>87</v>
      </c>
      <c r="D179" s="125" t="s">
        <v>270</v>
      </c>
      <c r="E179" s="126"/>
      <c r="F179" s="126" t="s">
        <v>313</v>
      </c>
    </row>
    <row r="180" spans="3:6" ht="15" x14ac:dyDescent="0.2">
      <c r="C180" s="124" t="s">
        <v>87</v>
      </c>
      <c r="D180" s="125" t="s">
        <v>271</v>
      </c>
      <c r="E180" s="126"/>
      <c r="F180" s="126" t="s">
        <v>313</v>
      </c>
    </row>
    <row r="181" spans="3:6" ht="15" x14ac:dyDescent="0.2">
      <c r="C181" s="124" t="s">
        <v>87</v>
      </c>
      <c r="D181" s="125" t="s">
        <v>272</v>
      </c>
      <c r="E181" s="126"/>
      <c r="F181" s="126" t="s">
        <v>121</v>
      </c>
    </row>
    <row r="182" spans="3:6" ht="15" x14ac:dyDescent="0.2">
      <c r="C182" s="124" t="s">
        <v>87</v>
      </c>
      <c r="D182" s="125" t="s">
        <v>273</v>
      </c>
      <c r="E182" s="126"/>
      <c r="F182" s="126" t="s">
        <v>121</v>
      </c>
    </row>
    <row r="183" spans="3:6" ht="15" x14ac:dyDescent="0.2">
      <c r="C183" s="124" t="s">
        <v>87</v>
      </c>
      <c r="D183" s="125" t="s">
        <v>274</v>
      </c>
      <c r="E183" s="126"/>
      <c r="F183" s="126" t="s">
        <v>121</v>
      </c>
    </row>
    <row r="184" spans="3:6" ht="15" x14ac:dyDescent="0.2">
      <c r="C184" s="124" t="s">
        <v>87</v>
      </c>
      <c r="D184" s="125" t="s">
        <v>275</v>
      </c>
      <c r="E184" s="126"/>
      <c r="F184" s="126" t="s">
        <v>121</v>
      </c>
    </row>
    <row r="185" spans="3:6" ht="30" x14ac:dyDescent="0.2">
      <c r="C185" s="124" t="s">
        <v>87</v>
      </c>
      <c r="D185" s="125" t="s">
        <v>276</v>
      </c>
      <c r="E185" s="126"/>
      <c r="F185" s="126" t="s">
        <v>121</v>
      </c>
    </row>
    <row r="186" spans="3:6" ht="30" x14ac:dyDescent="0.2">
      <c r="C186" s="124" t="s">
        <v>87</v>
      </c>
      <c r="D186" s="125" t="s">
        <v>277</v>
      </c>
      <c r="E186" s="126"/>
      <c r="F186" s="126" t="s">
        <v>311</v>
      </c>
    </row>
    <row r="187" spans="3:6" ht="15" x14ac:dyDescent="0.2">
      <c r="C187" s="124" t="s">
        <v>87</v>
      </c>
      <c r="D187" s="125" t="s">
        <v>278</v>
      </c>
      <c r="E187" s="126"/>
      <c r="F187" s="126" t="s">
        <v>313</v>
      </c>
    </row>
    <row r="188" spans="3:6" ht="15" x14ac:dyDescent="0.2">
      <c r="C188" s="124" t="s">
        <v>87</v>
      </c>
      <c r="D188" s="125" t="s">
        <v>279</v>
      </c>
      <c r="E188" s="126"/>
      <c r="F188" s="126" t="s">
        <v>314</v>
      </c>
    </row>
    <row r="189" spans="3:6" ht="15" x14ac:dyDescent="0.2">
      <c r="C189" s="121" t="s">
        <v>87</v>
      </c>
      <c r="D189" s="122" t="s">
        <v>280</v>
      </c>
      <c r="E189" s="123"/>
      <c r="F189" s="123" t="s">
        <v>313</v>
      </c>
    </row>
    <row r="190" spans="3:6" ht="15" x14ac:dyDescent="0.2">
      <c r="C190" s="124" t="s">
        <v>87</v>
      </c>
      <c r="D190" s="125" t="s">
        <v>281</v>
      </c>
      <c r="E190" s="126"/>
      <c r="F190" s="126" t="s">
        <v>311</v>
      </c>
    </row>
    <row r="191" spans="3:6" ht="15" x14ac:dyDescent="0.2">
      <c r="C191" s="124" t="s">
        <v>87</v>
      </c>
      <c r="D191" s="125" t="s">
        <v>282</v>
      </c>
      <c r="E191" s="126"/>
      <c r="F191" s="126" t="s">
        <v>313</v>
      </c>
    </row>
    <row r="192" spans="3:6" ht="15" x14ac:dyDescent="0.2">
      <c r="C192" s="124" t="s">
        <v>87</v>
      </c>
      <c r="D192" s="125" t="s">
        <v>283</v>
      </c>
      <c r="E192" s="126"/>
      <c r="F192" s="126" t="s">
        <v>313</v>
      </c>
    </row>
    <row r="193" spans="3:6" ht="15" x14ac:dyDescent="0.2">
      <c r="C193" s="124" t="s">
        <v>87</v>
      </c>
      <c r="D193" s="125" t="s">
        <v>284</v>
      </c>
      <c r="E193" s="126"/>
      <c r="F193" s="126" t="s">
        <v>313</v>
      </c>
    </row>
    <row r="194" spans="3:6" ht="15" x14ac:dyDescent="0.2">
      <c r="C194" s="124" t="s">
        <v>87</v>
      </c>
      <c r="D194" s="125" t="s">
        <v>273</v>
      </c>
      <c r="E194" s="126"/>
      <c r="F194" s="126" t="s">
        <v>313</v>
      </c>
    </row>
    <row r="195" spans="3:6" ht="15" x14ac:dyDescent="0.2">
      <c r="C195" s="124" t="s">
        <v>87</v>
      </c>
      <c r="D195" s="125" t="s">
        <v>285</v>
      </c>
      <c r="E195" s="126"/>
      <c r="F195" s="126" t="s">
        <v>313</v>
      </c>
    </row>
    <row r="196" spans="3:6" ht="15" x14ac:dyDescent="0.2">
      <c r="C196" s="124" t="s">
        <v>87</v>
      </c>
      <c r="D196" s="125" t="s">
        <v>286</v>
      </c>
      <c r="E196" s="126"/>
      <c r="F196" s="126" t="s">
        <v>314</v>
      </c>
    </row>
    <row r="197" spans="3:6" ht="15" x14ac:dyDescent="0.2">
      <c r="C197" s="124" t="s">
        <v>87</v>
      </c>
      <c r="D197" s="125" t="s">
        <v>274</v>
      </c>
      <c r="E197" s="126"/>
      <c r="F197" s="126" t="s">
        <v>314</v>
      </c>
    </row>
    <row r="198" spans="3:6" ht="15" x14ac:dyDescent="0.2">
      <c r="C198" s="124" t="s">
        <v>87</v>
      </c>
      <c r="D198" s="125" t="s">
        <v>287</v>
      </c>
      <c r="E198" s="126"/>
      <c r="F198" s="126" t="s">
        <v>314</v>
      </c>
    </row>
    <row r="199" spans="3:6" ht="15" x14ac:dyDescent="0.2">
      <c r="C199" s="121" t="s">
        <v>87</v>
      </c>
      <c r="D199" s="122" t="s">
        <v>288</v>
      </c>
      <c r="E199" s="123"/>
      <c r="F199" s="123" t="s">
        <v>121</v>
      </c>
    </row>
    <row r="200" spans="3:6" ht="15" x14ac:dyDescent="0.2">
      <c r="C200" s="124" t="s">
        <v>87</v>
      </c>
      <c r="D200" s="125" t="s">
        <v>289</v>
      </c>
      <c r="E200" s="126"/>
      <c r="F200" s="126" t="s">
        <v>311</v>
      </c>
    </row>
    <row r="201" spans="3:6" ht="30" x14ac:dyDescent="0.2">
      <c r="C201" s="124" t="s">
        <v>87</v>
      </c>
      <c r="D201" s="125" t="s">
        <v>290</v>
      </c>
      <c r="E201" s="126"/>
      <c r="F201" s="126" t="s">
        <v>311</v>
      </c>
    </row>
    <row r="202" spans="3:6" ht="15" x14ac:dyDescent="0.2">
      <c r="C202" s="124" t="s">
        <v>87</v>
      </c>
      <c r="D202" s="125" t="s">
        <v>291</v>
      </c>
      <c r="E202" s="126"/>
      <c r="F202" s="126" t="s">
        <v>313</v>
      </c>
    </row>
    <row r="203" spans="3:6" ht="15" x14ac:dyDescent="0.2">
      <c r="C203" s="124" t="s">
        <v>87</v>
      </c>
      <c r="D203" s="125" t="s">
        <v>292</v>
      </c>
      <c r="E203" s="126"/>
      <c r="F203" s="126" t="s">
        <v>121</v>
      </c>
    </row>
    <row r="204" spans="3:6" ht="15" x14ac:dyDescent="0.2">
      <c r="C204" s="124" t="s">
        <v>87</v>
      </c>
      <c r="D204" s="125" t="s">
        <v>293</v>
      </c>
      <c r="E204" s="126"/>
      <c r="F204" s="126" t="s">
        <v>121</v>
      </c>
    </row>
    <row r="205" spans="3:6" ht="30" x14ac:dyDescent="0.2">
      <c r="C205" s="124" t="s">
        <v>87</v>
      </c>
      <c r="D205" s="125" t="s">
        <v>294</v>
      </c>
      <c r="E205" s="126"/>
      <c r="F205" s="126" t="s">
        <v>311</v>
      </c>
    </row>
    <row r="206" spans="3:6" ht="15" x14ac:dyDescent="0.2">
      <c r="C206" s="124" t="s">
        <v>87</v>
      </c>
      <c r="D206" s="125" t="s">
        <v>295</v>
      </c>
      <c r="E206" s="126"/>
      <c r="F206" s="126" t="s">
        <v>311</v>
      </c>
    </row>
    <row r="207" spans="3:6" ht="15" x14ac:dyDescent="0.2">
      <c r="C207" s="124" t="s">
        <v>87</v>
      </c>
      <c r="D207" s="125" t="s">
        <v>296</v>
      </c>
      <c r="E207" s="126"/>
      <c r="F207" s="126" t="s">
        <v>121</v>
      </c>
    </row>
    <row r="208" spans="3:6" ht="15" x14ac:dyDescent="0.2">
      <c r="C208" s="124" t="s">
        <v>87</v>
      </c>
      <c r="D208" s="125" t="s">
        <v>297</v>
      </c>
      <c r="E208" s="126"/>
      <c r="F208" s="126" t="s">
        <v>120</v>
      </c>
    </row>
    <row r="209" spans="3:6" ht="15" x14ac:dyDescent="0.2">
      <c r="C209" s="124" t="s">
        <v>87</v>
      </c>
      <c r="D209" s="125" t="s">
        <v>298</v>
      </c>
      <c r="E209" s="126"/>
      <c r="F209" s="126" t="s">
        <v>313</v>
      </c>
    </row>
    <row r="210" spans="3:6" ht="30" x14ac:dyDescent="0.2">
      <c r="C210" s="124" t="s">
        <v>87</v>
      </c>
      <c r="D210" s="125" t="s">
        <v>299</v>
      </c>
      <c r="E210" s="126"/>
      <c r="F210" s="126" t="s">
        <v>313</v>
      </c>
    </row>
    <row r="211" spans="3:6" ht="30" x14ac:dyDescent="0.2">
      <c r="C211" s="124" t="s">
        <v>87</v>
      </c>
      <c r="D211" s="125" t="s">
        <v>300</v>
      </c>
      <c r="E211" s="126"/>
      <c r="F211" s="126" t="s">
        <v>311</v>
      </c>
    </row>
    <row r="212" spans="3:6" ht="15" x14ac:dyDescent="0.2">
      <c r="C212" s="124" t="s">
        <v>87</v>
      </c>
      <c r="D212" s="125" t="s">
        <v>301</v>
      </c>
      <c r="E212" s="126"/>
      <c r="F212" s="126" t="s">
        <v>311</v>
      </c>
    </row>
    <row r="213" spans="3:6" ht="15" x14ac:dyDescent="0.2">
      <c r="C213" s="124" t="s">
        <v>87</v>
      </c>
      <c r="D213" s="125" t="s">
        <v>302</v>
      </c>
      <c r="E213" s="126"/>
      <c r="F213" s="126" t="s">
        <v>313</v>
      </c>
    </row>
    <row r="214" spans="3:6" ht="15" x14ac:dyDescent="0.2">
      <c r="C214" s="124" t="s">
        <v>87</v>
      </c>
      <c r="D214" s="125" t="s">
        <v>303</v>
      </c>
      <c r="E214" s="126"/>
      <c r="F214" s="126" t="s">
        <v>121</v>
      </c>
    </row>
    <row r="215" spans="3:6" ht="15" x14ac:dyDescent="0.2">
      <c r="C215" s="124" t="s">
        <v>87</v>
      </c>
      <c r="D215" s="125" t="s">
        <v>304</v>
      </c>
      <c r="E215" s="126"/>
      <c r="F215" s="126" t="s">
        <v>311</v>
      </c>
    </row>
    <row r="216" spans="3:6" ht="15" x14ac:dyDescent="0.2">
      <c r="C216" s="124" t="s">
        <v>87</v>
      </c>
      <c r="D216" s="125" t="s">
        <v>305</v>
      </c>
      <c r="E216" s="126"/>
      <c r="F216" s="126" t="s">
        <v>121</v>
      </c>
    </row>
    <row r="217" spans="3:6" ht="15" x14ac:dyDescent="0.2">
      <c r="C217" s="124" t="s">
        <v>87</v>
      </c>
      <c r="D217" s="125" t="s">
        <v>306</v>
      </c>
      <c r="E217" s="126"/>
      <c r="F217" s="126" t="s">
        <v>121</v>
      </c>
    </row>
    <row r="218" spans="3:6" ht="15" x14ac:dyDescent="0.2">
      <c r="C218" s="124" t="s">
        <v>87</v>
      </c>
      <c r="D218" s="125" t="s">
        <v>307</v>
      </c>
      <c r="E218" s="126"/>
      <c r="F218" s="126" t="s">
        <v>121</v>
      </c>
    </row>
    <row r="219" spans="3:6" ht="15" x14ac:dyDescent="0.2">
      <c r="C219" s="124" t="s">
        <v>87</v>
      </c>
      <c r="D219" s="125" t="s">
        <v>308</v>
      </c>
      <c r="E219" s="126"/>
      <c r="F219" s="126" t="s">
        <v>121</v>
      </c>
    </row>
    <row r="220" spans="3:6" ht="15" x14ac:dyDescent="0.2">
      <c r="C220" s="124" t="s">
        <v>87</v>
      </c>
      <c r="D220" s="125" t="s">
        <v>309</v>
      </c>
      <c r="E220" s="126"/>
      <c r="F220" s="126" t="s">
        <v>120</v>
      </c>
    </row>
    <row r="221" spans="3:6" ht="15" x14ac:dyDescent="0.2">
      <c r="C221" s="124" t="s">
        <v>87</v>
      </c>
      <c r="D221" s="125" t="s">
        <v>310</v>
      </c>
      <c r="E221" s="126"/>
      <c r="F221" s="126" t="s">
        <v>313</v>
      </c>
    </row>
  </sheetData>
  <autoFilter ref="A1:X221"/>
  <mergeCells count="3">
    <mergeCell ref="C1:C3"/>
    <mergeCell ref="D1:D3"/>
    <mergeCell ref="F1:F3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8"/>
    </sheetView>
  </sheetViews>
  <sheetFormatPr defaultRowHeight="12.75" x14ac:dyDescent="0.2"/>
  <cols>
    <col min="1" max="1" width="61.85546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Description of Inputs</vt:lpstr>
      <vt:lpstr>IT Infrastructure</vt:lpstr>
      <vt:lpstr>Sheet1</vt:lpstr>
      <vt:lpstr>Sheet2</vt:lpstr>
      <vt:lpstr>'IT Infrastructure'!Print_Area</vt:lpstr>
    </vt:vector>
  </TitlesOfParts>
  <Company>Point 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Braun</dc:creator>
  <cp:lastModifiedBy>Tony Quintus</cp:lastModifiedBy>
  <cp:lastPrinted>2012-10-02T19:33:01Z</cp:lastPrinted>
  <dcterms:created xsi:type="dcterms:W3CDTF">1999-07-18T13:47:24Z</dcterms:created>
  <dcterms:modified xsi:type="dcterms:W3CDTF">2012-10-22T16:43:37Z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